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203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9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b val="1"/>
      <color rgb="0014532D"/>
      <sz val="8"/>
    </font>
    <font>
      <name val="Segoe UI"/>
      <b val="1"/>
      <color rgb="00831843"/>
      <sz val="8"/>
    </font>
    <font>
      <name val="Segoe UI"/>
      <b val="1"/>
      <color rgb="00713F12"/>
      <sz val="8"/>
    </font>
    <font>
      <name val="Segoe UI"/>
      <color rgb="00CBD5E1"/>
      <sz val="8"/>
    </font>
    <font>
      <name val="Segoe UI"/>
      <color rgb="00334155"/>
      <sz val="6"/>
    </font>
  </fonts>
  <fills count="56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CE7F3"/>
        <bgColor rgb="00FCE7F3"/>
      </patternFill>
    </fill>
    <fill>
      <patternFill patternType="solid">
        <fgColor rgb="00FEF9C3"/>
        <bgColor rgb="00FEF9C3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7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2" fillId="51" borderId="239" applyAlignment="1" pivotButton="0" quotePrefix="0" xfId="0">
      <alignment horizontal="center" vertical="center" wrapText="1"/>
    </xf>
    <xf numFmtId="0" fontId="80" fillId="47" borderId="239" applyAlignment="1" pivotButton="0" quotePrefix="0" xfId="0">
      <alignment horizontal="left" vertical="center" wrapText="1"/>
    </xf>
    <xf numFmtId="0" fontId="83" fillId="49" borderId="239" applyAlignment="1" pivotButton="0" quotePrefix="0" xfId="0">
      <alignment horizontal="left" vertical="center" wrapText="1"/>
    </xf>
    <xf numFmtId="0" fontId="80" fillId="47" borderId="239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9" applyAlignment="1" pivotButton="0" quotePrefix="0" xfId="0">
      <alignment horizontal="left" vertical="center" wrapText="1"/>
    </xf>
    <xf numFmtId="0" fontId="84" fillId="53" borderId="239" applyAlignment="1" pivotButton="0" quotePrefix="0" xfId="0">
      <alignment horizontal="center" vertical="center" wrapText="1"/>
    </xf>
    <xf numFmtId="0" fontId="85" fillId="54" borderId="239" applyAlignment="1" pivotButton="0" quotePrefix="0" xfId="0">
      <alignment horizontal="center" vertical="center" wrapText="1"/>
    </xf>
    <xf numFmtId="0" fontId="86" fillId="55" borderId="239" applyAlignment="1" pivotButton="0" quotePrefix="0" xfId="0">
      <alignment horizontal="center" vertical="center" wrapText="1"/>
    </xf>
    <xf numFmtId="0" fontId="79" fillId="49" borderId="249" applyAlignment="1" pivotButton="0" quotePrefix="0" xfId="0">
      <alignment horizontal="center" vertical="center" wrapText="1"/>
    </xf>
    <xf numFmtId="0" fontId="82" fillId="51" borderId="247" applyAlignment="1" pivotButton="0" quotePrefix="0" xfId="0">
      <alignment horizontal="center" vertical="center" wrapText="1"/>
    </xf>
    <xf numFmtId="0" fontId="80" fillId="52" borderId="247" applyAlignment="1" pivotButton="0" quotePrefix="0" xfId="0">
      <alignment horizontal="left" vertical="center" wrapText="1"/>
    </xf>
    <xf numFmtId="0" fontId="83" fillId="49" borderId="247" applyAlignment="1" pivotButton="0" quotePrefix="0" xfId="0">
      <alignment horizontal="left" vertical="center" wrapText="1"/>
    </xf>
    <xf numFmtId="0" fontId="80" fillId="47" borderId="247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7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8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công việc
Số Job từ Epicor hoặc Work Order nội bộ.</t>
      </text>
    </comment>
    <comment ref="AC9" authorId="0" shapeId="0">
      <text>
        <t>Mã chi tiết / Phiên bản
Part number và drawing revision.</t>
      </text>
    </comment>
    <comment ref="A10" authorId="0" shapeId="0">
      <text>
        <t>Khách hàng / Số PO
Tên khách hàng và số PO.</t>
      </text>
    </comment>
    <comment ref="AC10" authorId="0" shapeId="0">
      <text>
        <t>Ngày giao hàng mục tiêu
Ngày cam kết giao hàng cho khách.
Tất cả milestones phải hoàn thành trước ngày này.</t>
      </text>
    </comment>
    <comment ref="A12" authorId="0" shapeId="0">
      <text>
        <t>Các mốc tiến độ
Theo dõi từng bước từ nhận đơn đến giao hàng.
Cập nhật status khi hoàn thành mỗi mốc.
Job chỉ được ship khi tất cả milestones = CLOSED.</t>
      </text>
    </comment>
    <comment ref="AR13" authorId="0" shapeId="0">
      <text>
        <t>Trạng thái
OPEN = chưa bắt đầu.
IN PROGRESS = đang thực hiện.
CLOSED = hoàn thành.
MONITORING = đang theo dõi vấn đề.</t>
      </text>
    </comment>
    <comment ref="H14" authorId="0" shapeId="0">
      <text>
        <t>Xem xét hợp đồng
FRM-202 đã ký duyệt, tất cả HOLD đã giải quyết.</t>
      </text>
    </comment>
    <comment ref="H15" authorId="0" shapeId="0">
      <text>
        <t>Kickoff đơn hàng
FRM-204 đã kiểm tra: bản vẽ, vật liệu, routing, tooling, lịch trình.</t>
      </text>
    </comment>
    <comment ref="H16" authorId="0" shapeId="0">
      <text>
        <t>Vật liệu đã nhận và kiểm tra
Material cert khớp spec, IQC passed.
Nếu outsource material → PO đã issue.</t>
      </text>
    </comment>
    <comment ref="H17" authorId="0" shapeId="0">
      <text>
        <t>Setup sheet
FRM-302 phiên bản hiện hành trong job packet.
Bao gồm: program, tool list, fixture, offsets.</t>
      </text>
    </comment>
    <comment ref="H18" authorId="0" shapeId="0">
      <text>
        <t>First piece
FRM-511 đã ký: setup đúng, first piece trong dung sai.
Nếu tight tolerance → CMM report attached.</t>
      </text>
    </comment>
    <comment ref="H19" authorId="0" shapeId="0">
      <text>
        <t>Hoàn thành gia công
Tất cả operations trong routing đã completed.
Job traveler không còn operation nào mở.</t>
      </text>
    </comment>
    <comment ref="H20" authorId="0" shapeId="0">
      <text>
        <t>Gia công ngoài
Nếu có HT/mạ/anod → đã nhận lại và kiểm tra incoming (FRM-411).
Ghi NA nếu không có outsource.</t>
      </text>
    </comment>
    <comment ref="H21" authorId="0" shapeId="0">
      <text>
        <t>Kiểm tra cuối
FRM-641 đã ký: tất cả dimensions PASS.
CMM report + visual inspection passed.</t>
      </text>
    </comment>
    <comment ref="H22" authorId="0" shapeId="0">
      <text>
        <t>Chứng nhận
CoC đã soạn theo yêu cầu khách hàng.
Material cert, inspection data, CoC trong package.</t>
      </text>
    </comment>
    <comment ref="H23" authorId="0" shapeId="0">
      <text>
        <t>Đóng gói
FRM-707 (standard) hoặc FRM-709 (clean) đã passed.
Semiconductor parts → clean packaging bắt buộc.</t>
      </text>
    </comment>
    <comment ref="H24" authorId="0" shapeId="0">
      <text>
        <t>Giao hàng
FRM-702 shipping checklist passed.
Tracking number ghi nhận, khách hàng được thông báo.</t>
      </text>
    </comment>
    <comment ref="H25" authorId="0" shapeId="0">
      <text>
        <t>Đóng hồ sơ Job
FRM-206 completion checklist.
Tất cả bằng chứng đã file trong dossier M365.
Lessons learned captured nếu có.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3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JOB TRACKING SHEET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FRM-203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Planning / Production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Production Director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4" t="n"/>
      <c r="H9" s="474" t="n"/>
      <c r="I9" s="474" t="n"/>
      <c r="J9" s="475" t="n"/>
      <c r="K9" s="476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5" t="n"/>
      <c r="AC9" s="477" t="inlineStr">
        <is>
          <t>Part No. / Revision</t>
        </is>
      </c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5" t="n"/>
      <c r="AM9" s="478" t="n"/>
      <c r="AN9" s="474" t="n"/>
      <c r="AO9" s="474" t="n"/>
      <c r="AP9" s="474" t="n"/>
      <c r="AQ9" s="474" t="n"/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9" t="n"/>
    </row>
    <row r="10" ht="20" customHeight="1" s="264">
      <c r="A10" s="480" t="inlineStr">
        <is>
          <t>Customer / PO</t>
        </is>
      </c>
      <c r="B10" s="481" t="n"/>
      <c r="C10" s="481" t="n"/>
      <c r="D10" s="481" t="n"/>
      <c r="E10" s="481" t="n"/>
      <c r="F10" s="481" t="n"/>
      <c r="G10" s="481" t="n"/>
      <c r="H10" s="481" t="n"/>
      <c r="I10" s="481" t="n"/>
      <c r="J10" s="482" t="n"/>
      <c r="K10" s="483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2" t="n"/>
      <c r="AC10" s="484" t="inlineStr">
        <is>
          <t>Target Ship Date</t>
        </is>
      </c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2" t="n"/>
      <c r="AM10" s="485" t="n"/>
      <c r="AN10" s="481" t="n"/>
      <c r="AO10" s="481" t="n"/>
      <c r="AP10" s="481" t="n"/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1" t="n"/>
      <c r="BD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</row>
    <row r="12" ht="17" customHeight="1" s="264">
      <c r="A12" s="470" t="inlineStr">
        <is>
          <t xml:space="preserve">  2.  JOB MILESTONES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1" t="n"/>
      <c r="AO12" s="471" t="n"/>
      <c r="AP12" s="471" t="n"/>
      <c r="AQ12" s="471" t="n"/>
      <c r="AR12" s="471" t="n"/>
      <c r="AS12" s="471" t="n"/>
      <c r="AT12" s="471" t="n"/>
      <c r="AU12" s="471" t="n"/>
      <c r="AV12" s="471" t="n"/>
      <c r="AW12" s="471" t="n"/>
      <c r="AX12" s="471" t="n"/>
      <c r="AY12" s="471" t="n"/>
      <c r="AZ12" s="471" t="n"/>
      <c r="BA12" s="471" t="n"/>
      <c r="BB12" s="471" t="n"/>
      <c r="BC12" s="471" t="n"/>
      <c r="BD12" s="472" t="n"/>
    </row>
    <row r="13" ht="17" customHeight="1" s="264">
      <c r="A13" s="487" t="inlineStr">
        <is>
          <t>#</t>
        </is>
      </c>
      <c r="B13" s="474" t="n"/>
      <c r="C13" s="475" t="n"/>
      <c r="D13" s="488" t="inlineStr">
        <is>
          <t>Cat.</t>
        </is>
      </c>
      <c r="E13" s="474" t="n"/>
      <c r="F13" s="474" t="n"/>
      <c r="G13" s="475" t="n"/>
      <c r="H13" s="488" t="inlineStr">
        <is>
          <t>Milestone</t>
        </is>
      </c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5" t="n"/>
      <c r="AD13" s="488" t="inlineStr">
        <is>
          <t>Target / Evidence</t>
        </is>
      </c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4" t="n"/>
      <c r="AO13" s="474" t="n"/>
      <c r="AP13" s="474" t="n"/>
      <c r="AQ13" s="475" t="n"/>
      <c r="AR13" s="488" t="inlineStr">
        <is>
          <t>Status</t>
        </is>
      </c>
      <c r="AS13" s="474" t="n"/>
      <c r="AT13" s="474" t="n"/>
      <c r="AU13" s="474" t="n"/>
      <c r="AV13" s="474" t="n"/>
      <c r="AW13" s="475" t="n"/>
      <c r="AX13" s="489" t="inlineStr">
        <is>
          <t>Owner</t>
        </is>
      </c>
      <c r="AY13" s="474" t="n"/>
      <c r="AZ13" s="474" t="n"/>
      <c r="BA13" s="474" t="n"/>
      <c r="BB13" s="474" t="n"/>
      <c r="BC13" s="474" t="n"/>
      <c r="BD13" s="479" t="n"/>
    </row>
    <row r="14" ht="20" customHeight="1" s="264">
      <c r="A14" s="490">
        <f>ROW()-ROW($A$14)+1</f>
        <v/>
      </c>
      <c r="B14" s="491" t="n"/>
      <c r="C14" s="492" t="n"/>
      <c r="D14" s="493" t="inlineStr">
        <is>
          <t>DOC</t>
        </is>
      </c>
      <c r="E14" s="491" t="n"/>
      <c r="F14" s="491" t="n"/>
      <c r="G14" s="492" t="n"/>
      <c r="H14" s="494" t="inlineStr">
        <is>
          <t>Contract review completed (FRM-202).</t>
        </is>
      </c>
      <c r="I14" s="491" t="n"/>
      <c r="J14" s="491" t="n"/>
      <c r="K14" s="491" t="n"/>
      <c r="L14" s="491" t="n"/>
      <c r="M14" s="491" t="n"/>
      <c r="N14" s="491" t="n"/>
      <c r="O14" s="491" t="n"/>
      <c r="P14" s="491" t="n"/>
      <c r="Q14" s="491" t="n"/>
      <c r="R14" s="491" t="n"/>
      <c r="S14" s="491" t="n"/>
      <c r="T14" s="491" t="n"/>
      <c r="U14" s="491" t="n"/>
      <c r="V14" s="491" t="n"/>
      <c r="W14" s="491" t="n"/>
      <c r="X14" s="491" t="n"/>
      <c r="Y14" s="491" t="n"/>
      <c r="Z14" s="491" t="n"/>
      <c r="AA14" s="491" t="n"/>
      <c r="AB14" s="491" t="n"/>
      <c r="AC14" s="492" t="n"/>
      <c r="AD14" s="495" t="inlineStr">
        <is>
          <t>Review form signed and filed.</t>
        </is>
      </c>
      <c r="AE14" s="491" t="n"/>
      <c r="AF14" s="491" t="n"/>
      <c r="AG14" s="491" t="n"/>
      <c r="AH14" s="491" t="n"/>
      <c r="AI14" s="491" t="n"/>
      <c r="AJ14" s="491" t="n"/>
      <c r="AK14" s="491" t="n"/>
      <c r="AL14" s="491" t="n"/>
      <c r="AM14" s="491" t="n"/>
      <c r="AN14" s="491" t="n"/>
      <c r="AO14" s="491" t="n"/>
      <c r="AP14" s="491" t="n"/>
      <c r="AQ14" s="492" t="n"/>
      <c r="AR14" s="496" t="n"/>
      <c r="AS14" s="491" t="n"/>
      <c r="AT14" s="491" t="n"/>
      <c r="AU14" s="491" t="n"/>
      <c r="AV14" s="491" t="n"/>
      <c r="AW14" s="492" t="n"/>
      <c r="AX14" s="497" t="n"/>
      <c r="AY14" s="491" t="n"/>
      <c r="AZ14" s="491" t="n"/>
      <c r="BA14" s="491" t="n"/>
      <c r="BB14" s="491" t="n"/>
      <c r="BC14" s="491" t="n"/>
      <c r="BD14" s="498" t="n"/>
    </row>
    <row r="15" ht="20" customHeight="1" s="264">
      <c r="A15" s="490">
        <f>ROW()-ROW($A$14)+1</f>
        <v/>
      </c>
      <c r="B15" s="491" t="n"/>
      <c r="C15" s="492" t="n"/>
      <c r="D15" s="493" t="inlineStr">
        <is>
          <t>DOC</t>
        </is>
      </c>
      <c r="E15" s="491" t="n"/>
      <c r="F15" s="491" t="n"/>
      <c r="G15" s="492" t="n"/>
      <c r="H15" s="499" t="inlineStr">
        <is>
          <t>Order kickoff completed (FRM-204).</t>
        </is>
      </c>
      <c r="I15" s="491" t="n"/>
      <c r="J15" s="491" t="n"/>
      <c r="K15" s="491" t="n"/>
      <c r="L15" s="491" t="n"/>
      <c r="M15" s="491" t="n"/>
      <c r="N15" s="491" t="n"/>
      <c r="O15" s="491" t="n"/>
      <c r="P15" s="491" t="n"/>
      <c r="Q15" s="491" t="n"/>
      <c r="R15" s="491" t="n"/>
      <c r="S15" s="491" t="n"/>
      <c r="T15" s="491" t="n"/>
      <c r="U15" s="491" t="n"/>
      <c r="V15" s="491" t="n"/>
      <c r="W15" s="491" t="n"/>
      <c r="X15" s="491" t="n"/>
      <c r="Y15" s="491" t="n"/>
      <c r="Z15" s="491" t="n"/>
      <c r="AA15" s="491" t="n"/>
      <c r="AB15" s="491" t="n"/>
      <c r="AC15" s="492" t="n"/>
      <c r="AD15" s="495" t="inlineStr">
        <is>
          <t>Kickoff checklist passed.</t>
        </is>
      </c>
      <c r="AE15" s="491" t="n"/>
      <c r="AF15" s="491" t="n"/>
      <c r="AG15" s="491" t="n"/>
      <c r="AH15" s="491" t="n"/>
      <c r="AI15" s="491" t="n"/>
      <c r="AJ15" s="491" t="n"/>
      <c r="AK15" s="491" t="n"/>
      <c r="AL15" s="491" t="n"/>
      <c r="AM15" s="491" t="n"/>
      <c r="AN15" s="491" t="n"/>
      <c r="AO15" s="491" t="n"/>
      <c r="AP15" s="491" t="n"/>
      <c r="AQ15" s="492" t="n"/>
      <c r="AR15" s="496" t="n"/>
      <c r="AS15" s="491" t="n"/>
      <c r="AT15" s="491" t="n"/>
      <c r="AU15" s="491" t="n"/>
      <c r="AV15" s="491" t="n"/>
      <c r="AW15" s="492" t="n"/>
      <c r="AX15" s="497" t="n"/>
      <c r="AY15" s="491" t="n"/>
      <c r="AZ15" s="491" t="n"/>
      <c r="BA15" s="491" t="n"/>
      <c r="BB15" s="491" t="n"/>
      <c r="BC15" s="491" t="n"/>
      <c r="BD15" s="498" t="n"/>
    </row>
    <row r="16" ht="20" customHeight="1" s="264">
      <c r="A16" s="490">
        <f>ROW()-ROW($A$14)+1</f>
        <v/>
      </c>
      <c r="B16" s="491" t="n"/>
      <c r="C16" s="492" t="n"/>
      <c r="D16" s="500" t="inlineStr">
        <is>
          <t>TEC</t>
        </is>
      </c>
      <c r="E16" s="491" t="n"/>
      <c r="F16" s="491" t="n"/>
      <c r="G16" s="492" t="n"/>
      <c r="H16" s="494" t="inlineStr">
        <is>
          <t>Material received and verified.</t>
        </is>
      </c>
      <c r="I16" s="491" t="n"/>
      <c r="J16" s="491" t="n"/>
      <c r="K16" s="491" t="n"/>
      <c r="L16" s="491" t="n"/>
      <c r="M16" s="491" t="n"/>
      <c r="N16" s="491" t="n"/>
      <c r="O16" s="491" t="n"/>
      <c r="P16" s="491" t="n"/>
      <c r="Q16" s="491" t="n"/>
      <c r="R16" s="491" t="n"/>
      <c r="S16" s="491" t="n"/>
      <c r="T16" s="491" t="n"/>
      <c r="U16" s="491" t="n"/>
      <c r="V16" s="491" t="n"/>
      <c r="W16" s="491" t="n"/>
      <c r="X16" s="491" t="n"/>
      <c r="Y16" s="491" t="n"/>
      <c r="Z16" s="491" t="n"/>
      <c r="AA16" s="491" t="n"/>
      <c r="AB16" s="491" t="n"/>
      <c r="AC16" s="492" t="n"/>
      <c r="AD16" s="495" t="inlineStr">
        <is>
          <t>IQC passed (FRM-701), cert on file.</t>
        </is>
      </c>
      <c r="AE16" s="491" t="n"/>
      <c r="AF16" s="491" t="n"/>
      <c r="AG16" s="491" t="n"/>
      <c r="AH16" s="491" t="n"/>
      <c r="AI16" s="491" t="n"/>
      <c r="AJ16" s="491" t="n"/>
      <c r="AK16" s="491" t="n"/>
      <c r="AL16" s="491" t="n"/>
      <c r="AM16" s="491" t="n"/>
      <c r="AN16" s="491" t="n"/>
      <c r="AO16" s="491" t="n"/>
      <c r="AP16" s="491" t="n"/>
      <c r="AQ16" s="492" t="n"/>
      <c r="AR16" s="496" t="n"/>
      <c r="AS16" s="491" t="n"/>
      <c r="AT16" s="491" t="n"/>
      <c r="AU16" s="491" t="n"/>
      <c r="AV16" s="491" t="n"/>
      <c r="AW16" s="492" t="n"/>
      <c r="AX16" s="497" t="n"/>
      <c r="AY16" s="491" t="n"/>
      <c r="AZ16" s="491" t="n"/>
      <c r="BA16" s="491" t="n"/>
      <c r="BB16" s="491" t="n"/>
      <c r="BC16" s="491" t="n"/>
      <c r="BD16" s="498" t="n"/>
    </row>
    <row r="17" ht="20" customHeight="1" s="264">
      <c r="A17" s="490">
        <f>ROW()-ROW($A$14)+1</f>
        <v/>
      </c>
      <c r="B17" s="491" t="n"/>
      <c r="C17" s="492" t="n"/>
      <c r="D17" s="500" t="inlineStr">
        <is>
          <t>TEC</t>
        </is>
      </c>
      <c r="E17" s="491" t="n"/>
      <c r="F17" s="491" t="n"/>
      <c r="G17" s="492" t="n"/>
      <c r="H17" s="499" t="inlineStr">
        <is>
          <t>Setup sheet released (FRM-302).</t>
        </is>
      </c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1" t="n"/>
      <c r="T17" s="491" t="n"/>
      <c r="U17" s="491" t="n"/>
      <c r="V17" s="491" t="n"/>
      <c r="W17" s="491" t="n"/>
      <c r="X17" s="491" t="n"/>
      <c r="Y17" s="491" t="n"/>
      <c r="Z17" s="491" t="n"/>
      <c r="AA17" s="491" t="n"/>
      <c r="AB17" s="491" t="n"/>
      <c r="AC17" s="492" t="n"/>
      <c r="AD17" s="495" t="inlineStr">
        <is>
          <t>Current revision in job packet.</t>
        </is>
      </c>
      <c r="AE17" s="491" t="n"/>
      <c r="AF17" s="491" t="n"/>
      <c r="AG17" s="491" t="n"/>
      <c r="AH17" s="491" t="n"/>
      <c r="AI17" s="491" t="n"/>
      <c r="AJ17" s="491" t="n"/>
      <c r="AK17" s="491" t="n"/>
      <c r="AL17" s="491" t="n"/>
      <c r="AM17" s="491" t="n"/>
      <c r="AN17" s="491" t="n"/>
      <c r="AO17" s="491" t="n"/>
      <c r="AP17" s="491" t="n"/>
      <c r="AQ17" s="492" t="n"/>
      <c r="AR17" s="496" t="n"/>
      <c r="AS17" s="491" t="n"/>
      <c r="AT17" s="491" t="n"/>
      <c r="AU17" s="491" t="n"/>
      <c r="AV17" s="491" t="n"/>
      <c r="AW17" s="492" t="n"/>
      <c r="AX17" s="497" t="n"/>
      <c r="AY17" s="491" t="n"/>
      <c r="AZ17" s="491" t="n"/>
      <c r="BA17" s="491" t="n"/>
      <c r="BB17" s="491" t="n"/>
      <c r="BC17" s="491" t="n"/>
      <c r="BD17" s="498" t="n"/>
    </row>
    <row r="18" ht="20" customHeight="1" s="264">
      <c r="A18" s="490">
        <f>ROW()-ROW($A$14)+1</f>
        <v/>
      </c>
      <c r="B18" s="491" t="n"/>
      <c r="C18" s="492" t="n"/>
      <c r="D18" s="493" t="inlineStr">
        <is>
          <t>OPS</t>
        </is>
      </c>
      <c r="E18" s="491" t="n"/>
      <c r="F18" s="491" t="n"/>
      <c r="G18" s="492" t="n"/>
      <c r="H18" s="494" t="inlineStr">
        <is>
          <t>First piece approved (FRM-511).</t>
        </is>
      </c>
      <c r="I18" s="491" t="n"/>
      <c r="J18" s="491" t="n"/>
      <c r="K18" s="491" t="n"/>
      <c r="L18" s="491" t="n"/>
      <c r="M18" s="491" t="n"/>
      <c r="N18" s="491" t="n"/>
      <c r="O18" s="491" t="n"/>
      <c r="P18" s="491" t="n"/>
      <c r="Q18" s="491" t="n"/>
      <c r="R18" s="491" t="n"/>
      <c r="S18" s="491" t="n"/>
      <c r="T18" s="491" t="n"/>
      <c r="U18" s="491" t="n"/>
      <c r="V18" s="491" t="n"/>
      <c r="W18" s="491" t="n"/>
      <c r="X18" s="491" t="n"/>
      <c r="Y18" s="491" t="n"/>
      <c r="Z18" s="491" t="n"/>
      <c r="AA18" s="491" t="n"/>
      <c r="AB18" s="491" t="n"/>
      <c r="AC18" s="492" t="n"/>
      <c r="AD18" s="495" t="inlineStr">
        <is>
          <t>Setup verified, first piece in tolerance.</t>
        </is>
      </c>
      <c r="AE18" s="491" t="n"/>
      <c r="AF18" s="491" t="n"/>
      <c r="AG18" s="491" t="n"/>
      <c r="AH18" s="491" t="n"/>
      <c r="AI18" s="491" t="n"/>
      <c r="AJ18" s="491" t="n"/>
      <c r="AK18" s="491" t="n"/>
      <c r="AL18" s="491" t="n"/>
      <c r="AM18" s="491" t="n"/>
      <c r="AN18" s="491" t="n"/>
      <c r="AO18" s="491" t="n"/>
      <c r="AP18" s="491" t="n"/>
      <c r="AQ18" s="492" t="n"/>
      <c r="AR18" s="496" t="n"/>
      <c r="AS18" s="491" t="n"/>
      <c r="AT18" s="491" t="n"/>
      <c r="AU18" s="491" t="n"/>
      <c r="AV18" s="491" t="n"/>
      <c r="AW18" s="492" t="n"/>
      <c r="AX18" s="497" t="n"/>
      <c r="AY18" s="491" t="n"/>
      <c r="AZ18" s="491" t="n"/>
      <c r="BA18" s="491" t="n"/>
      <c r="BB18" s="491" t="n"/>
      <c r="BC18" s="491" t="n"/>
      <c r="BD18" s="498" t="n"/>
    </row>
    <row r="19" ht="20" customHeight="1" s="264">
      <c r="A19" s="490">
        <f>ROW()-ROW($A$14)+1</f>
        <v/>
      </c>
      <c r="B19" s="491" t="n"/>
      <c r="C19" s="492" t="n"/>
      <c r="D19" s="493" t="inlineStr">
        <is>
          <t>OPS</t>
        </is>
      </c>
      <c r="E19" s="491" t="n"/>
      <c r="F19" s="491" t="n"/>
      <c r="G19" s="492" t="n"/>
      <c r="H19" s="499" t="inlineStr">
        <is>
          <t>All machining operations completed.</t>
        </is>
      </c>
      <c r="I19" s="491" t="n"/>
      <c r="J19" s="491" t="n"/>
      <c r="K19" s="491" t="n"/>
      <c r="L19" s="491" t="n"/>
      <c r="M19" s="491" t="n"/>
      <c r="N19" s="491" t="n"/>
      <c r="O19" s="491" t="n"/>
      <c r="P19" s="491" t="n"/>
      <c r="Q19" s="491" t="n"/>
      <c r="R19" s="491" t="n"/>
      <c r="S19" s="491" t="n"/>
      <c r="T19" s="491" t="n"/>
      <c r="U19" s="491" t="n"/>
      <c r="V19" s="491" t="n"/>
      <c r="W19" s="491" t="n"/>
      <c r="X19" s="491" t="n"/>
      <c r="Y19" s="491" t="n"/>
      <c r="Z19" s="491" t="n"/>
      <c r="AA19" s="491" t="n"/>
      <c r="AB19" s="491" t="n"/>
      <c r="AC19" s="492" t="n"/>
      <c r="AD19" s="495" t="inlineStr">
        <is>
          <t>Job traveler fully signed off.</t>
        </is>
      </c>
      <c r="AE19" s="491" t="n"/>
      <c r="AF19" s="491" t="n"/>
      <c r="AG19" s="491" t="n"/>
      <c r="AH19" s="491" t="n"/>
      <c r="AI19" s="491" t="n"/>
      <c r="AJ19" s="491" t="n"/>
      <c r="AK19" s="491" t="n"/>
      <c r="AL19" s="491" t="n"/>
      <c r="AM19" s="491" t="n"/>
      <c r="AN19" s="491" t="n"/>
      <c r="AO19" s="491" t="n"/>
      <c r="AP19" s="491" t="n"/>
      <c r="AQ19" s="492" t="n"/>
      <c r="AR19" s="496" t="n"/>
      <c r="AS19" s="491" t="n"/>
      <c r="AT19" s="491" t="n"/>
      <c r="AU19" s="491" t="n"/>
      <c r="AV19" s="491" t="n"/>
      <c r="AW19" s="492" t="n"/>
      <c r="AX19" s="497" t="n"/>
      <c r="AY19" s="491" t="n"/>
      <c r="AZ19" s="491" t="n"/>
      <c r="BA19" s="491" t="n"/>
      <c r="BB19" s="491" t="n"/>
      <c r="BC19" s="491" t="n"/>
      <c r="BD19" s="498" t="n"/>
    </row>
    <row r="20" ht="20" customHeight="1" s="264">
      <c r="A20" s="490">
        <f>ROW()-ROW($A$14)+1</f>
        <v/>
      </c>
      <c r="B20" s="491" t="n"/>
      <c r="C20" s="492" t="n"/>
      <c r="D20" s="501" t="inlineStr">
        <is>
          <t>CAP</t>
        </is>
      </c>
      <c r="E20" s="491" t="n"/>
      <c r="F20" s="491" t="n"/>
      <c r="G20" s="492" t="n"/>
      <c r="H20" s="494" t="inlineStr">
        <is>
          <t>Outsource processes completed (if any).</t>
        </is>
      </c>
      <c r="I20" s="491" t="n"/>
      <c r="J20" s="491" t="n"/>
      <c r="K20" s="491" t="n"/>
      <c r="L20" s="491" t="n"/>
      <c r="M20" s="491" t="n"/>
      <c r="N20" s="491" t="n"/>
      <c r="O20" s="491" t="n"/>
      <c r="P20" s="491" t="n"/>
      <c r="Q20" s="491" t="n"/>
      <c r="R20" s="491" t="n"/>
      <c r="S20" s="491" t="n"/>
      <c r="T20" s="491" t="n"/>
      <c r="U20" s="491" t="n"/>
      <c r="V20" s="491" t="n"/>
      <c r="W20" s="491" t="n"/>
      <c r="X20" s="491" t="n"/>
      <c r="Y20" s="491" t="n"/>
      <c r="Z20" s="491" t="n"/>
      <c r="AA20" s="491" t="n"/>
      <c r="AB20" s="491" t="n"/>
      <c r="AC20" s="492" t="n"/>
      <c r="AD20" s="495" t="inlineStr">
        <is>
          <t>Incoming verification passed (FRM-411).</t>
        </is>
      </c>
      <c r="AE20" s="491" t="n"/>
      <c r="AF20" s="491" t="n"/>
      <c r="AG20" s="491" t="n"/>
      <c r="AH20" s="491" t="n"/>
      <c r="AI20" s="491" t="n"/>
      <c r="AJ20" s="491" t="n"/>
      <c r="AK20" s="491" t="n"/>
      <c r="AL20" s="491" t="n"/>
      <c r="AM20" s="491" t="n"/>
      <c r="AN20" s="491" t="n"/>
      <c r="AO20" s="491" t="n"/>
      <c r="AP20" s="491" t="n"/>
      <c r="AQ20" s="492" t="n"/>
      <c r="AR20" s="496" t="n"/>
      <c r="AS20" s="491" t="n"/>
      <c r="AT20" s="491" t="n"/>
      <c r="AU20" s="491" t="n"/>
      <c r="AV20" s="491" t="n"/>
      <c r="AW20" s="492" t="n"/>
      <c r="AX20" s="497" t="n"/>
      <c r="AY20" s="491" t="n"/>
      <c r="AZ20" s="491" t="n"/>
      <c r="BA20" s="491" t="n"/>
      <c r="BB20" s="491" t="n"/>
      <c r="BC20" s="491" t="n"/>
      <c r="BD20" s="498" t="n"/>
    </row>
    <row r="21" ht="20" customHeight="1" s="264">
      <c r="A21" s="490">
        <f>ROW()-ROW($A$14)+1</f>
        <v/>
      </c>
      <c r="B21" s="491" t="n"/>
      <c r="C21" s="492" t="n"/>
      <c r="D21" s="502" t="inlineStr">
        <is>
          <t>QUA</t>
        </is>
      </c>
      <c r="E21" s="491" t="n"/>
      <c r="F21" s="491" t="n"/>
      <c r="G21" s="492" t="n"/>
      <c r="H21" s="499" t="inlineStr">
        <is>
          <t>Final inspection passed (FRM-641).</t>
        </is>
      </c>
      <c r="I21" s="491" t="n"/>
      <c r="J21" s="491" t="n"/>
      <c r="K21" s="491" t="n"/>
      <c r="L21" s="491" t="n"/>
      <c r="M21" s="491" t="n"/>
      <c r="N21" s="491" t="n"/>
      <c r="O21" s="491" t="n"/>
      <c r="P21" s="491" t="n"/>
      <c r="Q21" s="491" t="n"/>
      <c r="R21" s="491" t="n"/>
      <c r="S21" s="491" t="n"/>
      <c r="T21" s="491" t="n"/>
      <c r="U21" s="491" t="n"/>
      <c r="V21" s="491" t="n"/>
      <c r="W21" s="491" t="n"/>
      <c r="X21" s="491" t="n"/>
      <c r="Y21" s="491" t="n"/>
      <c r="Z21" s="491" t="n"/>
      <c r="AA21" s="491" t="n"/>
      <c r="AB21" s="491" t="n"/>
      <c r="AC21" s="492" t="n"/>
      <c r="AD21" s="495" t="inlineStr">
        <is>
          <t>Inspection report attached to dossier.</t>
        </is>
      </c>
      <c r="AE21" s="491" t="n"/>
      <c r="AF21" s="491" t="n"/>
      <c r="AG21" s="491" t="n"/>
      <c r="AH21" s="491" t="n"/>
      <c r="AI21" s="491" t="n"/>
      <c r="AJ21" s="491" t="n"/>
      <c r="AK21" s="491" t="n"/>
      <c r="AL21" s="491" t="n"/>
      <c r="AM21" s="491" t="n"/>
      <c r="AN21" s="491" t="n"/>
      <c r="AO21" s="491" t="n"/>
      <c r="AP21" s="491" t="n"/>
      <c r="AQ21" s="492" t="n"/>
      <c r="AR21" s="496" t="n"/>
      <c r="AS21" s="491" t="n"/>
      <c r="AT21" s="491" t="n"/>
      <c r="AU21" s="491" t="n"/>
      <c r="AV21" s="491" t="n"/>
      <c r="AW21" s="492" t="n"/>
      <c r="AX21" s="497" t="n"/>
      <c r="AY21" s="491" t="n"/>
      <c r="AZ21" s="491" t="n"/>
      <c r="BA21" s="491" t="n"/>
      <c r="BB21" s="491" t="n"/>
      <c r="BC21" s="491" t="n"/>
      <c r="BD21" s="498" t="n"/>
    </row>
    <row r="22" ht="20" customHeight="1" s="264">
      <c r="A22" s="490">
        <f>ROW()-ROW($A$14)+1</f>
        <v/>
      </c>
      <c r="B22" s="491" t="n"/>
      <c r="C22" s="492" t="n"/>
      <c r="D22" s="502" t="inlineStr">
        <is>
          <t>QUA</t>
        </is>
      </c>
      <c r="E22" s="491" t="n"/>
      <c r="F22" s="491" t="n"/>
      <c r="G22" s="492" t="n"/>
      <c r="H22" s="494" t="inlineStr">
        <is>
          <t>CoC / certification package prepared.</t>
        </is>
      </c>
      <c r="I22" s="491" t="n"/>
      <c r="J22" s="491" t="n"/>
      <c r="K22" s="491" t="n"/>
      <c r="L22" s="491" t="n"/>
      <c r="M22" s="491" t="n"/>
      <c r="N22" s="491" t="n"/>
      <c r="O22" s="491" t="n"/>
      <c r="P22" s="491" t="n"/>
      <c r="Q22" s="491" t="n"/>
      <c r="R22" s="491" t="n"/>
      <c r="S22" s="491" t="n"/>
      <c r="T22" s="491" t="n"/>
      <c r="U22" s="491" t="n"/>
      <c r="V22" s="491" t="n"/>
      <c r="W22" s="491" t="n"/>
      <c r="X22" s="491" t="n"/>
      <c r="Y22" s="491" t="n"/>
      <c r="Z22" s="491" t="n"/>
      <c r="AA22" s="491" t="n"/>
      <c r="AB22" s="491" t="n"/>
      <c r="AC22" s="492" t="n"/>
      <c r="AD22" s="495" t="inlineStr">
        <is>
          <t>CoC matches customer requirements.</t>
        </is>
      </c>
      <c r="AE22" s="491" t="n"/>
      <c r="AF22" s="491" t="n"/>
      <c r="AG22" s="491" t="n"/>
      <c r="AH22" s="491" t="n"/>
      <c r="AI22" s="491" t="n"/>
      <c r="AJ22" s="491" t="n"/>
      <c r="AK22" s="491" t="n"/>
      <c r="AL22" s="491" t="n"/>
      <c r="AM22" s="491" t="n"/>
      <c r="AN22" s="491" t="n"/>
      <c r="AO22" s="491" t="n"/>
      <c r="AP22" s="491" t="n"/>
      <c r="AQ22" s="492" t="n"/>
      <c r="AR22" s="496" t="n"/>
      <c r="AS22" s="491" t="n"/>
      <c r="AT22" s="491" t="n"/>
      <c r="AU22" s="491" t="n"/>
      <c r="AV22" s="491" t="n"/>
      <c r="AW22" s="492" t="n"/>
      <c r="AX22" s="497" t="n"/>
      <c r="AY22" s="491" t="n"/>
      <c r="AZ22" s="491" t="n"/>
      <c r="BA22" s="491" t="n"/>
      <c r="BB22" s="491" t="n"/>
      <c r="BC22" s="491" t="n"/>
      <c r="BD22" s="498" t="n"/>
    </row>
    <row r="23" ht="20" customHeight="1" s="264">
      <c r="A23" s="490">
        <f>ROW()-ROW($A$14)+1</f>
        <v/>
      </c>
      <c r="B23" s="491" t="n"/>
      <c r="C23" s="492" t="n"/>
      <c r="D23" s="493" t="inlineStr">
        <is>
          <t>OPS</t>
        </is>
      </c>
      <c r="E23" s="491" t="n"/>
      <c r="F23" s="491" t="n"/>
      <c r="G23" s="492" t="n"/>
      <c r="H23" s="499" t="inlineStr">
        <is>
          <t>Packaging completed (FRM-707/709).</t>
        </is>
      </c>
      <c r="I23" s="491" t="n"/>
      <c r="J23" s="491" t="n"/>
      <c r="K23" s="491" t="n"/>
      <c r="L23" s="491" t="n"/>
      <c r="M23" s="491" t="n"/>
      <c r="N23" s="491" t="n"/>
      <c r="O23" s="491" t="n"/>
      <c r="P23" s="491" t="n"/>
      <c r="Q23" s="491" t="n"/>
      <c r="R23" s="491" t="n"/>
      <c r="S23" s="491" t="n"/>
      <c r="T23" s="491" t="n"/>
      <c r="U23" s="491" t="n"/>
      <c r="V23" s="491" t="n"/>
      <c r="W23" s="491" t="n"/>
      <c r="X23" s="491" t="n"/>
      <c r="Y23" s="491" t="n"/>
      <c r="Z23" s="491" t="n"/>
      <c r="AA23" s="491" t="n"/>
      <c r="AB23" s="491" t="n"/>
      <c r="AC23" s="492" t="n"/>
      <c r="AD23" s="495" t="inlineStr">
        <is>
          <t>Packaging checklist passed.</t>
        </is>
      </c>
      <c r="AE23" s="491" t="n"/>
      <c r="AF23" s="491" t="n"/>
      <c r="AG23" s="491" t="n"/>
      <c r="AH23" s="491" t="n"/>
      <c r="AI23" s="491" t="n"/>
      <c r="AJ23" s="491" t="n"/>
      <c r="AK23" s="491" t="n"/>
      <c r="AL23" s="491" t="n"/>
      <c r="AM23" s="491" t="n"/>
      <c r="AN23" s="491" t="n"/>
      <c r="AO23" s="491" t="n"/>
      <c r="AP23" s="491" t="n"/>
      <c r="AQ23" s="492" t="n"/>
      <c r="AR23" s="496" t="n"/>
      <c r="AS23" s="491" t="n"/>
      <c r="AT23" s="491" t="n"/>
      <c r="AU23" s="491" t="n"/>
      <c r="AV23" s="491" t="n"/>
      <c r="AW23" s="492" t="n"/>
      <c r="AX23" s="497" t="n"/>
      <c r="AY23" s="491" t="n"/>
      <c r="AZ23" s="491" t="n"/>
      <c r="BA23" s="491" t="n"/>
      <c r="BB23" s="491" t="n"/>
      <c r="BC23" s="491" t="n"/>
      <c r="BD23" s="498" t="n"/>
    </row>
    <row r="24" ht="20" customHeight="1" s="264">
      <c r="A24" s="490">
        <f>ROW()-ROW($A$14)+1</f>
        <v/>
      </c>
      <c r="B24" s="491" t="n"/>
      <c r="C24" s="492" t="n"/>
      <c r="D24" s="493" t="inlineStr">
        <is>
          <t>OPS</t>
        </is>
      </c>
      <c r="E24" s="491" t="n"/>
      <c r="F24" s="491" t="n"/>
      <c r="G24" s="492" t="n"/>
      <c r="H24" s="494" t="inlineStr">
        <is>
          <t>Shipping completed (FRM-702).</t>
        </is>
      </c>
      <c r="I24" s="491" t="n"/>
      <c r="J24" s="491" t="n"/>
      <c r="K24" s="491" t="n"/>
      <c r="L24" s="491" t="n"/>
      <c r="M24" s="491" t="n"/>
      <c r="N24" s="491" t="n"/>
      <c r="O24" s="491" t="n"/>
      <c r="P24" s="491" t="n"/>
      <c r="Q24" s="491" t="n"/>
      <c r="R24" s="491" t="n"/>
      <c r="S24" s="491" t="n"/>
      <c r="T24" s="491" t="n"/>
      <c r="U24" s="491" t="n"/>
      <c r="V24" s="491" t="n"/>
      <c r="W24" s="491" t="n"/>
      <c r="X24" s="491" t="n"/>
      <c r="Y24" s="491" t="n"/>
      <c r="Z24" s="491" t="n"/>
      <c r="AA24" s="491" t="n"/>
      <c r="AB24" s="491" t="n"/>
      <c r="AC24" s="492" t="n"/>
      <c r="AD24" s="495" t="inlineStr">
        <is>
          <t>Tracking number recorded.</t>
        </is>
      </c>
      <c r="AE24" s="491" t="n"/>
      <c r="AF24" s="491" t="n"/>
      <c r="AG24" s="491" t="n"/>
      <c r="AH24" s="491" t="n"/>
      <c r="AI24" s="491" t="n"/>
      <c r="AJ24" s="491" t="n"/>
      <c r="AK24" s="491" t="n"/>
      <c r="AL24" s="491" t="n"/>
      <c r="AM24" s="491" t="n"/>
      <c r="AN24" s="491" t="n"/>
      <c r="AO24" s="491" t="n"/>
      <c r="AP24" s="491" t="n"/>
      <c r="AQ24" s="492" t="n"/>
      <c r="AR24" s="496" t="n"/>
      <c r="AS24" s="491" t="n"/>
      <c r="AT24" s="491" t="n"/>
      <c r="AU24" s="491" t="n"/>
      <c r="AV24" s="491" t="n"/>
      <c r="AW24" s="492" t="n"/>
      <c r="AX24" s="497" t="n"/>
      <c r="AY24" s="491" t="n"/>
      <c r="AZ24" s="491" t="n"/>
      <c r="BA24" s="491" t="n"/>
      <c r="BB24" s="491" t="n"/>
      <c r="BC24" s="491" t="n"/>
      <c r="BD24" s="498" t="n"/>
    </row>
    <row r="25" ht="20" customHeight="1" s="264">
      <c r="A25" s="503">
        <f>ROW()-ROW($A$14)+1</f>
        <v/>
      </c>
      <c r="B25" s="481" t="n"/>
      <c r="C25" s="482" t="n"/>
      <c r="D25" s="504" t="inlineStr">
        <is>
          <t>DOC</t>
        </is>
      </c>
      <c r="E25" s="481" t="n"/>
      <c r="F25" s="481" t="n"/>
      <c r="G25" s="482" t="n"/>
      <c r="H25" s="505" t="inlineStr">
        <is>
          <t>Job dossier closed (FRM-206).</t>
        </is>
      </c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2" t="n"/>
      <c r="AD25" s="506" t="inlineStr">
        <is>
          <t>All evidence filed, lessons captured.</t>
        </is>
      </c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1" t="n"/>
      <c r="AN25" s="481" t="n"/>
      <c r="AO25" s="481" t="n"/>
      <c r="AP25" s="481" t="n"/>
      <c r="AQ25" s="482" t="n"/>
      <c r="AR25" s="507" t="n"/>
      <c r="AS25" s="481" t="n"/>
      <c r="AT25" s="481" t="n"/>
      <c r="AU25" s="481" t="n"/>
      <c r="AV25" s="481" t="n"/>
      <c r="AW25" s="482" t="n"/>
      <c r="AX25" s="508" t="n"/>
      <c r="AY25" s="481" t="n"/>
      <c r="AZ25" s="481" t="n"/>
      <c r="BA25" s="481" t="n"/>
      <c r="BB25" s="481" t="n"/>
      <c r="BC25" s="481" t="n"/>
      <c r="BD25" s="486" t="n"/>
    </row>
    <row r="26" ht="4" customHeight="1" s="264">
      <c r="A26" s="469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6" t="n"/>
      <c r="AO26" s="26" t="n"/>
      <c r="AP26" s="26" t="n"/>
      <c r="AQ26" s="26" t="n"/>
      <c r="AR26" s="26" t="n"/>
      <c r="AS26" s="26" t="n"/>
      <c r="AT26" s="26" t="n"/>
      <c r="AU26" s="26" t="n"/>
      <c r="AV26" s="26" t="n"/>
      <c r="AW26" s="26" t="n"/>
      <c r="AX26" s="26" t="n"/>
      <c r="AY26" s="26" t="n"/>
      <c r="AZ26" s="26" t="n"/>
      <c r="BA26" s="26" t="n"/>
      <c r="BB26" s="26" t="n"/>
      <c r="BC26" s="26" t="n"/>
      <c r="BD26" s="26" t="n"/>
    </row>
    <row r="27" ht="17" customHeight="1" s="264">
      <c r="A27" s="470" t="inlineStr">
        <is>
          <t xml:space="preserve">  3.  APPROVAL</t>
        </is>
      </c>
      <c r="B27" s="471" t="n"/>
      <c r="C27" s="471" t="n"/>
      <c r="D27" s="471" t="n"/>
      <c r="E27" s="471" t="n"/>
      <c r="F27" s="471" t="n"/>
      <c r="G27" s="471" t="n"/>
      <c r="H27" s="471" t="n"/>
      <c r="I27" s="471" t="n"/>
      <c r="J27" s="471" t="n"/>
      <c r="K27" s="471" t="n"/>
      <c r="L27" s="471" t="n"/>
      <c r="M27" s="471" t="n"/>
      <c r="N27" s="471" t="n"/>
      <c r="O27" s="471" t="n"/>
      <c r="P27" s="471" t="n"/>
      <c r="Q27" s="471" t="n"/>
      <c r="R27" s="471" t="n"/>
      <c r="S27" s="471" t="n"/>
      <c r="T27" s="471" t="n"/>
      <c r="U27" s="471" t="n"/>
      <c r="V27" s="471" t="n"/>
      <c r="W27" s="471" t="n"/>
      <c r="X27" s="471" t="n"/>
      <c r="Y27" s="471" t="n"/>
      <c r="Z27" s="471" t="n"/>
      <c r="AA27" s="471" t="n"/>
      <c r="AB27" s="471" t="n"/>
      <c r="AC27" s="471" t="n"/>
      <c r="AD27" s="471" t="n"/>
      <c r="AE27" s="471" t="n"/>
      <c r="AF27" s="471" t="n"/>
      <c r="AG27" s="471" t="n"/>
      <c r="AH27" s="471" t="n"/>
      <c r="AI27" s="471" t="n"/>
      <c r="AJ27" s="471" t="n"/>
      <c r="AK27" s="471" t="n"/>
      <c r="AL27" s="471" t="n"/>
      <c r="AM27" s="471" t="n"/>
      <c r="AN27" s="471" t="n"/>
      <c r="AO27" s="471" t="n"/>
      <c r="AP27" s="471" t="n"/>
      <c r="AQ27" s="471" t="n"/>
      <c r="AR27" s="471" t="n"/>
      <c r="AS27" s="471" t="n"/>
      <c r="AT27" s="471" t="n"/>
      <c r="AU27" s="471" t="n"/>
      <c r="AV27" s="471" t="n"/>
      <c r="AW27" s="471" t="n"/>
      <c r="AX27" s="471" t="n"/>
      <c r="AY27" s="471" t="n"/>
      <c r="AZ27" s="471" t="n"/>
      <c r="BA27" s="471" t="n"/>
      <c r="BB27" s="471" t="n"/>
      <c r="BC27" s="471" t="n"/>
      <c r="BD27" s="472" t="n"/>
    </row>
    <row r="28" ht="17" customHeight="1" s="264">
      <c r="A28" s="509" t="inlineStr">
        <is>
          <t>Planner</t>
        </is>
      </c>
      <c r="B28" s="471" t="n"/>
      <c r="C28" s="471" t="n"/>
      <c r="D28" s="471" t="n"/>
      <c r="E28" s="471" t="n"/>
      <c r="F28" s="471" t="n"/>
      <c r="G28" s="471" t="n"/>
      <c r="H28" s="471" t="n"/>
      <c r="I28" s="471" t="n"/>
      <c r="J28" s="471" t="n"/>
      <c r="K28" s="471" t="n"/>
      <c r="L28" s="471" t="n"/>
      <c r="M28" s="471" t="n"/>
      <c r="N28" s="471" t="n"/>
      <c r="O28" s="471" t="n"/>
      <c r="P28" s="471" t="n"/>
      <c r="Q28" s="471" t="n"/>
      <c r="R28" s="471" t="n"/>
      <c r="S28" s="471" t="n"/>
      <c r="T28" s="471" t="n"/>
      <c r="U28" s="471" t="n"/>
      <c r="V28" s="471" t="n"/>
      <c r="W28" s="471" t="n"/>
      <c r="X28" s="471" t="n"/>
      <c r="Y28" s="471" t="n"/>
      <c r="Z28" s="471" t="n"/>
      <c r="AA28" s="471" t="n"/>
      <c r="AB28" s="472" t="n"/>
      <c r="AC28" s="509" t="inlineStr">
        <is>
          <t>Production Director</t>
        </is>
      </c>
      <c r="AD28" s="471" t="n"/>
      <c r="AE28" s="471" t="n"/>
      <c r="AF28" s="471" t="n"/>
      <c r="AG28" s="471" t="n"/>
      <c r="AH28" s="471" t="n"/>
      <c r="AI28" s="471" t="n"/>
      <c r="AJ28" s="471" t="n"/>
      <c r="AK28" s="471" t="n"/>
      <c r="AL28" s="471" t="n"/>
      <c r="AM28" s="471" t="n"/>
      <c r="AN28" s="471" t="n"/>
      <c r="AO28" s="471" t="n"/>
      <c r="AP28" s="471" t="n"/>
      <c r="AQ28" s="471" t="n"/>
      <c r="AR28" s="471" t="n"/>
      <c r="AS28" s="471" t="n"/>
      <c r="AT28" s="471" t="n"/>
      <c r="AU28" s="471" t="n"/>
      <c r="AV28" s="471" t="n"/>
      <c r="AW28" s="471" t="n"/>
      <c r="AX28" s="471" t="n"/>
      <c r="AY28" s="471" t="n"/>
      <c r="AZ28" s="471" t="n"/>
      <c r="BA28" s="471" t="n"/>
      <c r="BB28" s="471" t="n"/>
      <c r="BC28" s="471" t="n"/>
      <c r="BD28" s="472" t="n"/>
    </row>
    <row r="29" ht="26" customHeight="1" s="264">
      <c r="A29" s="510" t="inlineStr">
        <is>
          <t>Name  /  Signature  /  Date</t>
        </is>
      </c>
      <c r="B29" s="511" t="n"/>
      <c r="C29" s="511" t="n"/>
      <c r="D29" s="511" t="n"/>
      <c r="E29" s="511" t="n"/>
      <c r="F29" s="511" t="n"/>
      <c r="G29" s="511" t="n"/>
      <c r="H29" s="511" t="n"/>
      <c r="I29" s="511" t="n"/>
      <c r="J29" s="511" t="n"/>
      <c r="K29" s="511" t="n"/>
      <c r="L29" s="511" t="n"/>
      <c r="M29" s="511" t="n"/>
      <c r="N29" s="511" t="n"/>
      <c r="O29" s="511" t="n"/>
      <c r="P29" s="511" t="n"/>
      <c r="Q29" s="511" t="n"/>
      <c r="R29" s="511" t="n"/>
      <c r="S29" s="511" t="n"/>
      <c r="T29" s="511" t="n"/>
      <c r="U29" s="511" t="n"/>
      <c r="V29" s="511" t="n"/>
      <c r="W29" s="511" t="n"/>
      <c r="X29" s="511" t="n"/>
      <c r="Y29" s="511" t="n"/>
      <c r="Z29" s="511" t="n"/>
      <c r="AA29" s="511" t="n"/>
      <c r="AB29" s="512" t="n"/>
      <c r="AC29" s="510" t="inlineStr">
        <is>
          <t>Name  /  Signature  /  Date</t>
        </is>
      </c>
      <c r="AD29" s="511" t="n"/>
      <c r="AE29" s="511" t="n"/>
      <c r="AF29" s="511" t="n"/>
      <c r="AG29" s="511" t="n"/>
      <c r="AH29" s="511" t="n"/>
      <c r="AI29" s="511" t="n"/>
      <c r="AJ29" s="511" t="n"/>
      <c r="AK29" s="511" t="n"/>
      <c r="AL29" s="511" t="n"/>
      <c r="AM29" s="511" t="n"/>
      <c r="AN29" s="511" t="n"/>
      <c r="AO29" s="511" t="n"/>
      <c r="AP29" s="511" t="n"/>
      <c r="AQ29" s="511" t="n"/>
      <c r="AR29" s="511" t="n"/>
      <c r="AS29" s="511" t="n"/>
      <c r="AT29" s="511" t="n"/>
      <c r="AU29" s="511" t="n"/>
      <c r="AV29" s="511" t="n"/>
      <c r="AW29" s="511" t="n"/>
      <c r="AX29" s="511" t="n"/>
      <c r="AY29" s="511" t="n"/>
      <c r="AZ29" s="511" t="n"/>
      <c r="BA29" s="511" t="n"/>
      <c r="BB29" s="511" t="n"/>
      <c r="BC29" s="511" t="n"/>
      <c r="BD29" s="512" t="n"/>
    </row>
    <row r="30" ht="26" customHeight="1" s="264">
      <c r="A30" s="513" t="n"/>
      <c r="AB30" s="514" t="n"/>
      <c r="AC30" s="513" t="n"/>
      <c r="BD30" s="514" t="n"/>
    </row>
    <row r="31" ht="26" customHeight="1" s="264">
      <c r="A31" s="515" t="n"/>
      <c r="B31" s="481" t="n"/>
      <c r="C31" s="481" t="n"/>
      <c r="D31" s="481" t="n"/>
      <c r="E31" s="481" t="n"/>
      <c r="F31" s="481" t="n"/>
      <c r="G31" s="481" t="n"/>
      <c r="H31" s="481" t="n"/>
      <c r="I31" s="481" t="n"/>
      <c r="J31" s="481" t="n"/>
      <c r="K31" s="481" t="n"/>
      <c r="L31" s="481" t="n"/>
      <c r="M31" s="481" t="n"/>
      <c r="N31" s="481" t="n"/>
      <c r="O31" s="481" t="n"/>
      <c r="P31" s="481" t="n"/>
      <c r="Q31" s="481" t="n"/>
      <c r="R31" s="481" t="n"/>
      <c r="S31" s="481" t="n"/>
      <c r="T31" s="481" t="n"/>
      <c r="U31" s="481" t="n"/>
      <c r="V31" s="481" t="n"/>
      <c r="W31" s="481" t="n"/>
      <c r="X31" s="481" t="n"/>
      <c r="Y31" s="481" t="n"/>
      <c r="Z31" s="481" t="n"/>
      <c r="AA31" s="481" t="n"/>
      <c r="AB31" s="486" t="n"/>
      <c r="AC31" s="515" t="n"/>
      <c r="AD31" s="481" t="n"/>
      <c r="AE31" s="481" t="n"/>
      <c r="AF31" s="481" t="n"/>
      <c r="AG31" s="481" t="n"/>
      <c r="AH31" s="481" t="n"/>
      <c r="AI31" s="481" t="n"/>
      <c r="AJ31" s="481" t="n"/>
      <c r="AK31" s="481" t="n"/>
      <c r="AL31" s="481" t="n"/>
      <c r="AM31" s="481" t="n"/>
      <c r="AN31" s="481" t="n"/>
      <c r="AO31" s="481" t="n"/>
      <c r="AP31" s="481" t="n"/>
      <c r="AQ31" s="481" t="n"/>
      <c r="AR31" s="481" t="n"/>
      <c r="AS31" s="481" t="n"/>
      <c r="AT31" s="481" t="n"/>
      <c r="AU31" s="481" t="n"/>
      <c r="AV31" s="481" t="n"/>
      <c r="AW31" s="481" t="n"/>
      <c r="AX31" s="481" t="n"/>
      <c r="AY31" s="481" t="n"/>
      <c r="AZ31" s="481" t="n"/>
      <c r="BA31" s="481" t="n"/>
      <c r="BB31" s="481" t="n"/>
      <c r="BC31" s="481" t="n"/>
      <c r="BD31" s="486" t="n"/>
    </row>
    <row r="32" ht="4" customHeight="1" s="264">
      <c r="A32" s="469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  <c r="AN32" s="26" t="n"/>
      <c r="AO32" s="26" t="n"/>
      <c r="AP32" s="26" t="n"/>
      <c r="AQ32" s="26" t="n"/>
      <c r="AR32" s="26" t="n"/>
      <c r="AS32" s="26" t="n"/>
      <c r="AT32" s="26" t="n"/>
      <c r="AU32" s="26" t="n"/>
      <c r="AV32" s="26" t="n"/>
      <c r="AW32" s="26" t="n"/>
      <c r="AX32" s="26" t="n"/>
      <c r="AY32" s="26" t="n"/>
      <c r="AZ32" s="26" t="n"/>
      <c r="BA32" s="26" t="n"/>
      <c r="BB32" s="26" t="n"/>
      <c r="BC32" s="26" t="n"/>
      <c r="BD32" s="26" t="n"/>
    </row>
    <row r="33" ht="24" customHeight="1" s="264">
      <c r="A33" s="516" t="inlineStr">
        <is>
          <t>NOTICE — Master job tracker from order to delivery. Update daily during production. Ref: SOP-201. Retain: 10 years.</t>
        </is>
      </c>
      <c r="B33" s="471" t="n"/>
      <c r="C33" s="471" t="n"/>
      <c r="D33" s="471" t="n"/>
      <c r="E33" s="471" t="n"/>
      <c r="F33" s="471" t="n"/>
      <c r="G33" s="471" t="n"/>
      <c r="H33" s="471" t="n"/>
      <c r="I33" s="471" t="n"/>
      <c r="J33" s="471" t="n"/>
      <c r="K33" s="471" t="n"/>
      <c r="L33" s="471" t="n"/>
      <c r="M33" s="471" t="n"/>
      <c r="N33" s="471" t="n"/>
      <c r="O33" s="471" t="n"/>
      <c r="P33" s="471" t="n"/>
      <c r="Q33" s="471" t="n"/>
      <c r="R33" s="471" t="n"/>
      <c r="S33" s="471" t="n"/>
      <c r="T33" s="471" t="n"/>
      <c r="U33" s="471" t="n"/>
      <c r="V33" s="471" t="n"/>
      <c r="W33" s="471" t="n"/>
      <c r="X33" s="471" t="n"/>
      <c r="Y33" s="471" t="n"/>
      <c r="Z33" s="471" t="n"/>
      <c r="AA33" s="471" t="n"/>
      <c r="AB33" s="471" t="n"/>
      <c r="AC33" s="471" t="n"/>
      <c r="AD33" s="471" t="n"/>
      <c r="AE33" s="471" t="n"/>
      <c r="AF33" s="471" t="n"/>
      <c r="AG33" s="471" t="n"/>
      <c r="AH33" s="471" t="n"/>
      <c r="AI33" s="471" t="n"/>
      <c r="AJ33" s="471" t="n"/>
      <c r="AK33" s="471" t="n"/>
      <c r="AL33" s="471" t="n"/>
      <c r="AM33" s="471" t="n"/>
      <c r="AN33" s="471" t="n"/>
      <c r="AO33" s="471" t="n"/>
      <c r="AP33" s="471" t="n"/>
      <c r="AQ33" s="471" t="n"/>
      <c r="AR33" s="471" t="n"/>
      <c r="AS33" s="471" t="n"/>
      <c r="AT33" s="471" t="n"/>
      <c r="AU33" s="471" t="n"/>
      <c r="AV33" s="471" t="n"/>
      <c r="AW33" s="471" t="n"/>
      <c r="AX33" s="471" t="n"/>
      <c r="AY33" s="471" t="n"/>
      <c r="AZ33" s="471" t="n"/>
      <c r="BA33" s="471" t="n"/>
      <c r="BB33" s="471" t="n"/>
      <c r="BC33" s="471" t="n"/>
      <c r="BD33" s="472" t="n"/>
    </row>
  </sheetData>
  <mergeCells count="112">
    <mergeCell ref="D18:G18"/>
    <mergeCell ref="H16:AC16"/>
    <mergeCell ref="AD18:AQ18"/>
    <mergeCell ref="AC29:BD31"/>
    <mergeCell ref="AW2:BD2"/>
    <mergeCell ref="A21:C21"/>
    <mergeCell ref="AX15:BD15"/>
    <mergeCell ref="AX24:BD24"/>
    <mergeCell ref="AQ5:AV5"/>
    <mergeCell ref="A23:C23"/>
    <mergeCell ref="D20:G20"/>
    <mergeCell ref="AW3:BD3"/>
    <mergeCell ref="AQ4:AV4"/>
    <mergeCell ref="D22:G22"/>
    <mergeCell ref="AW5:BD5"/>
    <mergeCell ref="L2:AP4"/>
    <mergeCell ref="AQ6:AV6"/>
    <mergeCell ref="D21:G21"/>
    <mergeCell ref="D13:G13"/>
    <mergeCell ref="AD22:AQ22"/>
    <mergeCell ref="AX17:BD17"/>
    <mergeCell ref="H13:AC13"/>
    <mergeCell ref="D24:G24"/>
    <mergeCell ref="AR13:AW13"/>
    <mergeCell ref="AD24:AQ24"/>
    <mergeCell ref="AQ2:AV2"/>
    <mergeCell ref="AX20:BD20"/>
    <mergeCell ref="AX14:BD14"/>
    <mergeCell ref="H15:AC15"/>
    <mergeCell ref="AR15:AW15"/>
    <mergeCell ref="AX23:BD23"/>
    <mergeCell ref="H24:AC24"/>
    <mergeCell ref="H18:AC18"/>
    <mergeCell ref="AR24:AW24"/>
    <mergeCell ref="A14:C14"/>
    <mergeCell ref="A29:AB31"/>
    <mergeCell ref="AM10:BD10"/>
    <mergeCell ref="D19:G19"/>
    <mergeCell ref="AR21:AW21"/>
    <mergeCell ref="AD19:AQ19"/>
    <mergeCell ref="A13:C13"/>
    <mergeCell ref="A7:BD7"/>
    <mergeCell ref="A15:C15"/>
    <mergeCell ref="A24:C24"/>
    <mergeCell ref="A27:BD27"/>
    <mergeCell ref="AR18:AW18"/>
    <mergeCell ref="K9:AB9"/>
    <mergeCell ref="A33:BD33"/>
    <mergeCell ref="AX16:BD16"/>
    <mergeCell ref="L5:AP5"/>
    <mergeCell ref="AX25:BD25"/>
    <mergeCell ref="A16:C16"/>
    <mergeCell ref="A25:C25"/>
    <mergeCell ref="AX18:BD18"/>
    <mergeCell ref="AC9:AL9"/>
    <mergeCell ref="AD21:AQ21"/>
    <mergeCell ref="A18:C18"/>
    <mergeCell ref="D15:G15"/>
    <mergeCell ref="AD20:AQ20"/>
    <mergeCell ref="AD14:AQ14"/>
    <mergeCell ref="AD23:AQ23"/>
    <mergeCell ref="AD13:AQ13"/>
    <mergeCell ref="AW4:BD4"/>
    <mergeCell ref="H14:AC14"/>
    <mergeCell ref="A22:C22"/>
    <mergeCell ref="H23:AC23"/>
    <mergeCell ref="A11:BD11"/>
    <mergeCell ref="A20:C20"/>
    <mergeCell ref="AD15:AQ15"/>
    <mergeCell ref="AX22:BD22"/>
    <mergeCell ref="K10:AB10"/>
    <mergeCell ref="AX21:BD21"/>
    <mergeCell ref="H25:AC25"/>
    <mergeCell ref="D17:G17"/>
    <mergeCell ref="A26:BD26"/>
    <mergeCell ref="AX13:BD13"/>
    <mergeCell ref="H17:AC17"/>
    <mergeCell ref="A8:BD8"/>
    <mergeCell ref="AC10:AL10"/>
    <mergeCell ref="AQ3:AV3"/>
    <mergeCell ref="D25:G25"/>
    <mergeCell ref="H22:AC22"/>
    <mergeCell ref="AD17:AQ17"/>
    <mergeCell ref="H19:AC19"/>
    <mergeCell ref="AR19:AW19"/>
    <mergeCell ref="AM9:BD9"/>
    <mergeCell ref="A10:J10"/>
    <mergeCell ref="D14:G14"/>
    <mergeCell ref="AR16:AW16"/>
    <mergeCell ref="D23:G23"/>
    <mergeCell ref="AR25:AW25"/>
    <mergeCell ref="L6:AP6"/>
    <mergeCell ref="A9:J9"/>
    <mergeCell ref="A28:AB28"/>
    <mergeCell ref="A17:C17"/>
    <mergeCell ref="AD25:AQ25"/>
    <mergeCell ref="AW6:BD6"/>
    <mergeCell ref="AX19:BD19"/>
    <mergeCell ref="H20:AC20"/>
    <mergeCell ref="AR20:AW20"/>
    <mergeCell ref="AR17:AW17"/>
    <mergeCell ref="A19:C19"/>
    <mergeCell ref="AC28:BD28"/>
    <mergeCell ref="AR22:AW22"/>
    <mergeCell ref="H21:AC21"/>
    <mergeCell ref="A12:BD12"/>
    <mergeCell ref="A2:K6"/>
    <mergeCell ref="D16:G16"/>
    <mergeCell ref="AD16:AQ16"/>
    <mergeCell ref="AR14:AW14"/>
    <mergeCell ref="A32:BD32"/>
    <mergeCell ref="AR23:AW23"/>
  </mergeCells>
  <conditionalFormatting sqref="AR14:AR25">
    <cfRule type="cellIs" priority="1" operator="equal" dxfId="0">
      <formula>"CLOSED"</formula>
    </cfRule>
    <cfRule type="cellIs" priority="2" operator="equal" dxfId="1">
      <formula>"IN PROGRESS"</formula>
    </cfRule>
    <cfRule type="cellIs" priority="3" operator="equal" dxfId="2">
      <formula>"OPEN"</formula>
    </cfRule>
  </conditionalFormatting>
  <dataValidations count="1">
    <dataValidation sqref="AR14 AR15 AR16 AR17 AR18 AR19 AR20 AR21 AR22 AR23 AR24 AR25" showDropDown="0" showInputMessage="0" showErrorMessage="1" allowBlank="1" type="list">
      <formula1>=LISTS!$C$2:$C$5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2026-03-23T13:29:41Z</dcterms:modified>
  <cp:lastModifiedBy>Johny</cp:lastModifiedBy>
  <cp:lastPrinted>2026-03-23T09:06:37Z</cp:lastPrinted>
</cp:coreProperties>
</file>