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0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color rgb="00CBD5E1"/>
      <sz val="8"/>
    </font>
    <font>
      <name val="Segoe UI"/>
      <color rgb="00334155"/>
      <sz val="6"/>
    </font>
  </fonts>
  <fills count="5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CE7F3"/>
        <bgColor rgb="00FCE7F3"/>
      </patternFill>
    </fill>
    <fill>
      <patternFill patternType="solid">
        <fgColor rgb="00F3E8FF"/>
        <bgColor rgb="00F3E8FF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85" fillId="54" borderId="238" applyAlignment="1" pivotButton="0" quotePrefix="0" xfId="0">
      <alignment horizontal="center" vertical="center" wrapText="1"/>
    </xf>
    <xf numFmtId="0" fontId="86" fillId="55" borderId="238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7" fillId="56" borderId="246" applyAlignment="1" pivotButton="0" quotePrefix="0" xfId="0">
      <alignment horizontal="center" vertical="center" wrapText="1"/>
    </xf>
    <xf numFmtId="0" fontId="80" fillId="52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8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9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8" authorId="0" shapeId="0">
      <text>
        <t>Thông tin hợp đồng
Ghi thông tin cơ bản từ PO/RFQ của khách hàng.</t>
      </text>
    </comment>
    <comment ref="A9" authorId="0" shapeId="0">
      <text>
        <t>Khách hàng
Tên công ty khách hàng.</t>
      </text>
    </comment>
    <comment ref="U9" authorId="0" shapeId="0">
      <text>
        <t>Số RFQ / PO
Số báo giá hoặc đơn đặt hàng của khách.
Ví dụ: PO-2026-00145</t>
      </text>
    </comment>
    <comment ref="A10" authorId="0" shapeId="0">
      <text>
        <t>Mã chi tiết / Phiên bản
Part number và revision bản vẽ.
Ví dụ: HES-1234 Rev.C</t>
      </text>
    </comment>
    <comment ref="U10" authorId="0" shapeId="0">
      <text>
        <t>Ngày giao hàng yêu cầu
Ngày khách hàng cần nhận hàng.
Đánh giá tính khả thi trong checklist bên dưới.</t>
      </text>
    </comment>
    <comment ref="A12" authorId="0" shapeId="0">
      <text>
        <t>Đánh giá hợp đồng
Xem xét tất cả yêu cầu trước khi chấp nhận đơn hàng.
ISO 9001 cl.8.2.3 — phải xem xét trước khi cam kết cung cấp sản phẩm.
Tất cả phải PASS hoặc NA mới được release job.</t>
      </text>
    </comment>
    <comment ref="F13" authorId="0" shapeId="0">
      <text>
        <t>Hạng mục đánh giá
Nội dung cần xem xét cho đơn hàng này.</t>
      </text>
    </comment>
    <comment ref="V13" authorId="0" shapeId="0">
      <text>
        <t>Tiêu chí chấp nhận
Điều kiện để PASS.</t>
      </text>
    </comment>
    <comment ref="AF13" authorId="0" shapeId="0">
      <text>
        <t>Kết quả
PASS = đạt, có thể tiến hành.
HOLD = cần làm rõ thêm trước khi tiến hành.
FAIL = không đạt, không thể nhận đơn.
NA = không áp dụng.</t>
      </text>
    </comment>
    <comment ref="AJ13" authorId="0" shapeId="0">
      <text>
        <t>Người phụ trách
Bộ phận chịu trách nhiệm đánh giá hạng mục này.</t>
      </text>
    </comment>
    <comment ref="F14" authorId="0" shapeId="0">
      <text>
        <t>Thông tin PO đầy đủ
Kiểm tra PO có đủ: mã part, revision, số lượng, ngày giao, điều kiện vận chuyển.
Nếu thiếu → HOLD, liên hệ khách bổ sung trước khi nhận đơn.</t>
      </text>
    </comment>
    <comment ref="F15" authorId="0" shapeId="0">
      <text>
        <t>Giá và điều kiện thanh toán
Kiểm tra giá đã báo khớp với PO.
Margin phải đạt ngưỡng tối thiểu theo chính sách công ty.</t>
      </text>
    </comment>
    <comment ref="F16" authorId="0" shapeId="0">
      <text>
        <t>Bản vẽ / Spec
Phải nhận được bản vẽ đúng revision, đọc được rõ ràng.
Cần cả PDF (để đọc) và DXF/STEP (để lập trình CNC).</t>
      </text>
    </comment>
    <comment ref="F17" authorId="0" shapeId="0">
      <text>
        <t>Dung sai / CTQ đạt được
Đánh giá xem máy CNC hiện có đạt được dung sai yêu cầu không.
Dung sai chặt (&lt;0.025mm) cần đánh giá Cpk.
Nếu không chắc → HOLD, yêu cầu trial cut.</t>
      </text>
    </comment>
    <comment ref="F18" authorId="0" shapeId="0">
      <text>
        <t>Vật liệu
Kiểm tra grade vật liệu có trong AML (Approved Material List).
Nếu vật liệu mới → HOLD, cần đánh giá khả năng gia công.</t>
      </text>
    </comment>
    <comment ref="F19" authorId="0" shapeId="0">
      <text>
        <t>Gia công bên ngoài
Xác định quy trình outsource: nhiệt luyện, mạ, anod hóa...
Kiểm tra có nhà cung cấp qualified với lead time phù hợp.</t>
      </text>
    </comment>
    <comment ref="F20" authorId="0" shapeId="0">
      <text>
        <t>Yêu cầu đặc biệt khách hàng
CSR = Customer-Specific Requirements.
Ví dụ: ASML yêu cầu cleanliness ISO Class 5.
Applied Materials yêu cầu passivation + VCI packaging.</t>
      </text>
    </comment>
    <comment ref="F21" authorId="0" shapeId="0">
      <text>
        <t>Yêu cầu kiểm tra
Xác định mức kiểm tra: 100%, AQL, FAI.
Khách hàng semiconductor thường yêu cầu FAI theo AS9102.</t>
      </text>
    </comment>
    <comment ref="F22" authorId="0" shapeId="0">
      <text>
        <t>Năng lực sản xuất
Kiểm tra máy có sẵn, đồ gá, dao cụ, routing khả thi.
Tải máy không vượt 80% công suất.</t>
      </text>
    </comment>
    <comment ref="F23" authorId="0" shapeId="0">
      <text>
        <t>Thời gian giao hàng
Đánh giá lead time toàn bộ: vật liệu + gia công + outsource + kiểm tra.
Buffer ≥ 5 ngày làm việc trước ngày giao.</t>
      </text>
    </comment>
    <comment ref="F24" authorId="0" shapeId="0">
      <text>
        <t>Đóng gói / Vận chuyển
Xác định phương pháp đóng gói theo yêu cầu khách.
Semiconductor parts thường cần clean packaging.</t>
      </text>
    </comment>
    <comment ref="F25" authorId="0" shapeId="0">
      <text>
        <t>Job dossier
Tạo thư mục M365 cho job trước khi release.
Đường dẫn lưu trữ tất cả bằng chứng trong suốt job.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CONTRACT REVIEW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FRM-202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Sales / CS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Sales Mgr / QA Mgr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Customer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RFQ / PO No.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No. / Revision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Required Delivery 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CONTRACT EVALUATION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COM</t>
        </is>
      </c>
      <c r="D14" s="493" t="n"/>
      <c r="E14" s="491" t="n"/>
      <c r="F14" s="494" t="inlineStr">
        <is>
          <t>PO/RFQ contains: part no., rev., qty, due date, ship terms.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Complete → PASS; Missing info → HOLD, request clarification.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COM</t>
        </is>
      </c>
      <c r="D15" s="493" t="n"/>
      <c r="E15" s="491" t="n"/>
      <c r="F15" s="499" t="inlineStr">
        <is>
          <t>Price and payment terms are acceptable.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Margin ≥ threshold per pricing policy.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TEC</t>
        </is>
      </c>
      <c r="D16" s="493" t="n"/>
      <c r="E16" s="491" t="n"/>
      <c r="F16" s="494" t="inlineStr">
        <is>
          <t>Drawing / spec received — correct rev., fully readable.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PDF+DXF/STEP on file; drawing no. matches PO.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0" t="inlineStr">
        <is>
          <t>TEC</t>
        </is>
      </c>
      <c r="D17" s="493" t="n"/>
      <c r="E17" s="491" t="n"/>
      <c r="F17" s="499" t="inlineStr">
        <is>
          <t>Tolerance / CTQ achievable with current equipment.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Est. Cpk ≥ 1.33 for critical dims → PASS.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0" t="inlineStr">
        <is>
          <t>TEC</t>
        </is>
      </c>
      <c r="D18" s="493" t="n"/>
      <c r="E18" s="491" t="n"/>
      <c r="F18" s="494" t="inlineStr">
        <is>
          <t>Material grade available or sourceable.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AML match → PASS; New material → HOLD for eval.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0" t="inlineStr">
        <is>
          <t>TEC</t>
        </is>
      </c>
      <c r="D19" s="493" t="n"/>
      <c r="E19" s="491" t="n"/>
      <c r="F19" s="499" t="inlineStr">
        <is>
          <t>Outsource processes identified (HT/plate/anod).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Qualified supplier available with acceptable lead time.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1" t="inlineStr">
        <is>
          <t>QUA</t>
        </is>
      </c>
      <c r="D20" s="493" t="n"/>
      <c r="E20" s="491" t="n"/>
      <c r="F20" s="494" t="inlineStr">
        <is>
          <t>Customer special requirements (CSR) identified.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Cleanliness, vacuum, cert, packing requirements documented.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501" t="inlineStr">
        <is>
          <t>QUA</t>
        </is>
      </c>
      <c r="D21" s="493" t="n"/>
      <c r="E21" s="491" t="n"/>
      <c r="F21" s="499" t="inlineStr">
        <is>
          <t>Inspection level / FAI requirement clear.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Per AS9100D / SEMI / customer-specific standard.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2" t="inlineStr">
        <is>
          <t>CAP</t>
        </is>
      </c>
      <c r="D22" s="493" t="n"/>
      <c r="E22" s="491" t="n"/>
      <c r="F22" s="494" t="inlineStr">
        <is>
          <t>Machine / fixture / tooling / routing feasible.</t>
        </is>
      </c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495" t="inlineStr">
        <is>
          <t>Capacity load ≤ 80% → PASS; Overload → HOLD.</t>
        </is>
      </c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490">
        <f>ROW()-ROW($A$14)+1</f>
        <v/>
      </c>
      <c r="B23" s="491" t="n"/>
      <c r="C23" s="502" t="inlineStr">
        <is>
          <t>CAP</t>
        </is>
      </c>
      <c r="D23" s="493" t="n"/>
      <c r="E23" s="491" t="n"/>
      <c r="F23" s="499" t="inlineStr">
        <is>
          <t>Lead time and delivery feasible.</t>
        </is>
      </c>
      <c r="G23" s="493" t="n"/>
      <c r="H23" s="493" t="n"/>
      <c r="I23" s="493" t="n"/>
      <c r="J23" s="493" t="n"/>
      <c r="K23" s="493" t="n"/>
      <c r="L23" s="493" t="n"/>
      <c r="M23" s="493" t="n"/>
      <c r="N23" s="493" t="n"/>
      <c r="O23" s="493" t="n"/>
      <c r="P23" s="493" t="n"/>
      <c r="Q23" s="493" t="n"/>
      <c r="R23" s="493" t="n"/>
      <c r="S23" s="493" t="n"/>
      <c r="T23" s="493" t="n"/>
      <c r="U23" s="491" t="n"/>
      <c r="V23" s="495" t="inlineStr">
        <is>
          <t>Schedule buffer ≥ 5 working days → PASS.</t>
        </is>
      </c>
      <c r="W23" s="493" t="n"/>
      <c r="X23" s="493" t="n"/>
      <c r="Y23" s="493" t="n"/>
      <c r="Z23" s="493" t="n"/>
      <c r="AA23" s="493" t="n"/>
      <c r="AB23" s="493" t="n"/>
      <c r="AC23" s="493" t="n"/>
      <c r="AD23" s="493" t="n"/>
      <c r="AE23" s="491" t="n"/>
      <c r="AF23" s="496" t="n"/>
      <c r="AG23" s="493" t="n"/>
      <c r="AH23" s="493" t="n"/>
      <c r="AI23" s="491" t="n"/>
      <c r="AJ23" s="497" t="n"/>
      <c r="AK23" s="493" t="n"/>
      <c r="AL23" s="493" t="n"/>
      <c r="AM23" s="493" t="n"/>
      <c r="AN23" s="498" t="n"/>
    </row>
    <row r="24" ht="20" customHeight="1" s="264">
      <c r="A24" s="490">
        <f>ROW()-ROW($A$14)+1</f>
        <v/>
      </c>
      <c r="B24" s="491" t="n"/>
      <c r="C24" s="502" t="inlineStr">
        <is>
          <t>CAP</t>
        </is>
      </c>
      <c r="D24" s="493" t="n"/>
      <c r="E24" s="491" t="n"/>
      <c r="F24" s="494" t="inlineStr">
        <is>
          <t>Packaging / labeling / shipping method defined.</t>
        </is>
      </c>
      <c r="G24" s="493" t="n"/>
      <c r="H24" s="493" t="n"/>
      <c r="I24" s="493" t="n"/>
      <c r="J24" s="493" t="n"/>
      <c r="K24" s="493" t="n"/>
      <c r="L24" s="493" t="n"/>
      <c r="M24" s="493" t="n"/>
      <c r="N24" s="493" t="n"/>
      <c r="O24" s="493" t="n"/>
      <c r="P24" s="493" t="n"/>
      <c r="Q24" s="493" t="n"/>
      <c r="R24" s="493" t="n"/>
      <c r="S24" s="493" t="n"/>
      <c r="T24" s="493" t="n"/>
      <c r="U24" s="491" t="n"/>
      <c r="V24" s="495" t="inlineStr">
        <is>
          <t>Template exists → PASS; New requirement → HOLD.</t>
        </is>
      </c>
      <c r="W24" s="493" t="n"/>
      <c r="X24" s="493" t="n"/>
      <c r="Y24" s="493" t="n"/>
      <c r="Z24" s="493" t="n"/>
      <c r="AA24" s="493" t="n"/>
      <c r="AB24" s="493" t="n"/>
      <c r="AC24" s="493" t="n"/>
      <c r="AD24" s="493" t="n"/>
      <c r="AE24" s="491" t="n"/>
      <c r="AF24" s="496" t="n"/>
      <c r="AG24" s="493" t="n"/>
      <c r="AH24" s="493" t="n"/>
      <c r="AI24" s="491" t="n"/>
      <c r="AJ24" s="497" t="n"/>
      <c r="AK24" s="493" t="n"/>
      <c r="AL24" s="493" t="n"/>
      <c r="AM24" s="493" t="n"/>
      <c r="AN24" s="498" t="n"/>
    </row>
    <row r="25" ht="20" customHeight="1" s="264">
      <c r="A25" s="503">
        <f>ROW()-ROW($A$14)+1</f>
        <v/>
      </c>
      <c r="B25" s="482" t="n"/>
      <c r="C25" s="504" t="inlineStr">
        <is>
          <t>CON</t>
        </is>
      </c>
      <c r="D25" s="481" t="n"/>
      <c r="E25" s="482" t="n"/>
      <c r="F25" s="505" t="inlineStr">
        <is>
          <t>Job dossier path confirmed before release.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6" t="inlineStr">
        <is>
          <t>M365 folder created and accessible.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7" t="n"/>
      <c r="AG25" s="481" t="n"/>
      <c r="AH25" s="481" t="n"/>
      <c r="AI25" s="482" t="n"/>
      <c r="AJ25" s="508" t="n"/>
      <c r="AK25" s="481" t="n"/>
      <c r="AL25" s="481" t="n"/>
      <c r="AM25" s="481" t="n"/>
      <c r="AN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</row>
    <row r="27" ht="17" customHeight="1" s="264">
      <c r="A27" s="470" t="inlineStr">
        <is>
          <t xml:space="preserve">  3.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17" customHeight="1" s="264">
      <c r="A28" s="509" t="inlineStr">
        <is>
          <t>Sales / CS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2" t="n"/>
      <c r="N28" s="509" t="inlineStr">
        <is>
          <t>Engineering</t>
        </is>
      </c>
      <c r="O28" s="471" t="n"/>
      <c r="P28" s="471" t="n"/>
      <c r="Q28" s="471" t="n"/>
      <c r="R28" s="471" t="n"/>
      <c r="S28" s="471" t="n"/>
      <c r="T28" s="471" t="n"/>
      <c r="U28" s="471" t="n"/>
      <c r="V28" s="471" t="n"/>
      <c r="W28" s="471" t="n"/>
      <c r="X28" s="471" t="n"/>
      <c r="Y28" s="471" t="n"/>
      <c r="Z28" s="472" t="n"/>
      <c r="AA28" s="509" t="inlineStr">
        <is>
          <t>QA / Approver</t>
        </is>
      </c>
      <c r="AB28" s="471" t="n"/>
      <c r="AC28" s="471" t="n"/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2" t="n"/>
    </row>
    <row r="29" ht="26" customHeight="1" s="264">
      <c r="A29" s="510" t="inlineStr">
        <is>
          <t>Name  /  Signature  /  Date</t>
        </is>
      </c>
      <c r="B29" s="511" t="n"/>
      <c r="C29" s="511" t="n"/>
      <c r="D29" s="511" t="n"/>
      <c r="E29" s="511" t="n"/>
      <c r="F29" s="511" t="n"/>
      <c r="G29" s="511" t="n"/>
      <c r="H29" s="511" t="n"/>
      <c r="I29" s="511" t="n"/>
      <c r="J29" s="511" t="n"/>
      <c r="K29" s="511" t="n"/>
      <c r="L29" s="511" t="n"/>
      <c r="M29" s="512" t="n"/>
      <c r="N29" s="510" t="inlineStr">
        <is>
          <t>Name  /  Signature  /  Date</t>
        </is>
      </c>
      <c r="O29" s="511" t="n"/>
      <c r="P29" s="511" t="n"/>
      <c r="Q29" s="511" t="n"/>
      <c r="R29" s="511" t="n"/>
      <c r="S29" s="511" t="n"/>
      <c r="T29" s="511" t="n"/>
      <c r="U29" s="511" t="n"/>
      <c r="V29" s="511" t="n"/>
      <c r="W29" s="511" t="n"/>
      <c r="X29" s="511" t="n"/>
      <c r="Y29" s="511" t="n"/>
      <c r="Z29" s="512" t="n"/>
      <c r="AA29" s="510" t="inlineStr">
        <is>
          <t>Name  /  Signature  /  Date</t>
        </is>
      </c>
      <c r="AB29" s="511" t="n"/>
      <c r="AC29" s="511" t="n"/>
      <c r="AD29" s="511" t="n"/>
      <c r="AE29" s="511" t="n"/>
      <c r="AF29" s="511" t="n"/>
      <c r="AG29" s="511" t="n"/>
      <c r="AH29" s="511" t="n"/>
      <c r="AI29" s="511" t="n"/>
      <c r="AJ29" s="511" t="n"/>
      <c r="AK29" s="511" t="n"/>
      <c r="AL29" s="511" t="n"/>
      <c r="AM29" s="511" t="n"/>
      <c r="AN29" s="512" t="n"/>
    </row>
    <row r="30" ht="26" customHeight="1" s="264">
      <c r="A30" s="513" t="n"/>
      <c r="M30" s="514" t="n"/>
      <c r="N30" s="513" t="n"/>
      <c r="Z30" s="514" t="n"/>
      <c r="AA30" s="513" t="n"/>
      <c r="AN30" s="514" t="n"/>
    </row>
    <row r="31" ht="26" customHeight="1" s="264">
      <c r="A31" s="515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6" t="n"/>
      <c r="N31" s="515" t="n"/>
      <c r="O31" s="481" t="n"/>
      <c r="P31" s="481" t="n"/>
      <c r="Q31" s="481" t="n"/>
      <c r="R31" s="481" t="n"/>
      <c r="S31" s="481" t="n"/>
      <c r="T31" s="481" t="n"/>
      <c r="U31" s="481" t="n"/>
      <c r="V31" s="481" t="n"/>
      <c r="W31" s="481" t="n"/>
      <c r="X31" s="481" t="n"/>
      <c r="Y31" s="481" t="n"/>
      <c r="Z31" s="486" t="n"/>
      <c r="AA31" s="515" t="n"/>
      <c r="AB31" s="481" t="n"/>
      <c r="AC31" s="481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</row>
    <row r="33" ht="24" customHeight="1" s="264">
      <c r="A33" s="516" t="inlineStr">
        <is>
          <t>NOTICE — One form per contract/PO. All HOLD items must be resolved before job release. Ref: SOP-201. Retain: 10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2" t="n"/>
    </row>
  </sheetData>
  <mergeCells count="114">
    <mergeCell ref="F23:U23"/>
    <mergeCell ref="A12:AN12"/>
    <mergeCell ref="A15:B15"/>
    <mergeCell ref="AF23:AI23"/>
    <mergeCell ref="F13:U13"/>
    <mergeCell ref="AE6:AH6"/>
    <mergeCell ref="A32:AN32"/>
    <mergeCell ref="C21:E21"/>
    <mergeCell ref="AA28:AN28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F17:U17"/>
    <mergeCell ref="AF15:AI15"/>
    <mergeCell ref="C20:E20"/>
    <mergeCell ref="AJ22:AN22"/>
    <mergeCell ref="C25:E25"/>
    <mergeCell ref="AJ21:AN21"/>
    <mergeCell ref="I5:AD5"/>
    <mergeCell ref="C22:E22"/>
    <mergeCell ref="V25:AE25"/>
    <mergeCell ref="A10:G10"/>
    <mergeCell ref="AJ14:AN14"/>
    <mergeCell ref="AE5:AH5"/>
    <mergeCell ref="A28:M28"/>
    <mergeCell ref="AJ23:AN23"/>
    <mergeCell ref="U10:AA10"/>
    <mergeCell ref="AB10:AN10"/>
    <mergeCell ref="V17:AE17"/>
    <mergeCell ref="AF24:AI24"/>
    <mergeCell ref="AI3:AN3"/>
    <mergeCell ref="H10:T10"/>
    <mergeCell ref="C13:E13"/>
    <mergeCell ref="AI5:AN5"/>
    <mergeCell ref="V20:AE20"/>
    <mergeCell ref="C15:E15"/>
    <mergeCell ref="AF16:AI16"/>
    <mergeCell ref="C24:E24"/>
    <mergeCell ref="AF25:AI25"/>
    <mergeCell ref="F18:U18"/>
    <mergeCell ref="A7:AN7"/>
    <mergeCell ref="AJ16:AN16"/>
    <mergeCell ref="AJ25:AN25"/>
    <mergeCell ref="V15:AE15"/>
    <mergeCell ref="AF20:AI20"/>
    <mergeCell ref="AF14:AI14"/>
    <mergeCell ref="A27:AN27"/>
    <mergeCell ref="C16:E16"/>
    <mergeCell ref="F22:U22"/>
    <mergeCell ref="A33:AN33"/>
    <mergeCell ref="AA29:AN31"/>
    <mergeCell ref="N29:Z31"/>
    <mergeCell ref="V16:AE16"/>
    <mergeCell ref="AF13:AI13"/>
    <mergeCell ref="F14:U14"/>
    <mergeCell ref="V18:AE18"/>
    <mergeCell ref="AJ13:AN13"/>
    <mergeCell ref="I6:AD6"/>
    <mergeCell ref="A21:B21"/>
    <mergeCell ref="AI2:AN2"/>
    <mergeCell ref="AE3:AH3"/>
    <mergeCell ref="AJ15:AN15"/>
    <mergeCell ref="A11:AN11"/>
    <mergeCell ref="A14:B14"/>
    <mergeCell ref="AJ24:AN24"/>
    <mergeCell ref="A23:B23"/>
    <mergeCell ref="F24:U24"/>
    <mergeCell ref="F21:U21"/>
    <mergeCell ref="C14:E14"/>
    <mergeCell ref="AB9:AN9"/>
    <mergeCell ref="AI6:AN6"/>
    <mergeCell ref="A24:B24"/>
    <mergeCell ref="A26:AN26"/>
    <mergeCell ref="N28:Z28"/>
    <mergeCell ref="AF17:AI17"/>
    <mergeCell ref="AI4:AN4"/>
    <mergeCell ref="A29:M31"/>
    <mergeCell ref="A8:AN8"/>
    <mergeCell ref="AJ17:AN17"/>
    <mergeCell ref="AF19:AI19"/>
    <mergeCell ref="A16:B16"/>
    <mergeCell ref="A25:B25"/>
    <mergeCell ref="C17:E17"/>
    <mergeCell ref="AJ19:AN19"/>
    <mergeCell ref="A18:B18"/>
    <mergeCell ref="F16:U16"/>
    <mergeCell ref="F25:U25"/>
    <mergeCell ref="C19:E19"/>
    <mergeCell ref="AE2:AH2"/>
    <mergeCell ref="F15:U15"/>
    <mergeCell ref="V24:AE24"/>
    <mergeCell ref="V19:AE19"/>
    <mergeCell ref="A20:B20"/>
    <mergeCell ref="A13:B13"/>
    <mergeCell ref="AF21:AI21"/>
  </mergeCells>
  <conditionalFormatting sqref="AF14:AF25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 AF24 AF25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2026-03-23T13:29:26Z</dcterms:modified>
  <cp:lastModifiedBy>Johny</cp:lastModifiedBy>
  <cp:lastPrinted>2026-03-23T09:06:37Z</cp:lastPrinted>
</cp:coreProperties>
</file>