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50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9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14532D"/>
      <sz val="8"/>
    </font>
    <font>
      <name val="Segoe UI"/>
      <b val="1"/>
      <color rgb="00831843"/>
      <sz val="8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6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CE7F3"/>
        <bgColor rgb="00FCE7F3"/>
      </patternFill>
    </fill>
    <fill>
      <patternFill patternType="solid">
        <fgColor rgb="00FEF9C3"/>
        <bgColor rgb="00FEF9C3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8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4" fillId="52" borderId="238" applyAlignment="1" pivotButton="0" quotePrefix="0" xfId="0">
      <alignment horizontal="center" vertical="center" wrapText="1"/>
    </xf>
    <xf numFmtId="0" fontId="80" fillId="53" borderId="238" applyAlignment="1" pivotButton="0" quotePrefix="0" xfId="0">
      <alignment horizontal="left" vertical="center" wrapText="1"/>
    </xf>
    <xf numFmtId="0" fontId="85" fillId="54" borderId="238" applyAlignment="1" pivotButton="0" quotePrefix="0" xfId="0">
      <alignment horizontal="center" vertical="center" wrapText="1"/>
    </xf>
    <xf numFmtId="0" fontId="86" fillId="55" borderId="238" applyAlignment="1" pivotButton="0" quotePrefix="0" xfId="0">
      <alignment horizontal="center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3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7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8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công việc
Số Job hoặc Work Order cần release vào sản xuất.</t>
      </text>
    </comment>
    <comment ref="U9" authorId="0" shapeId="0">
      <text>
        <t>Mã chi tiết / Phiên bản
Part number và drawing revision.</t>
      </text>
    </comment>
    <comment ref="A10" authorId="0" shapeId="0">
      <text>
        <t>Ngày release
Ngày dự kiến release job vào shop floor.</t>
      </text>
    </comment>
    <comment ref="U10" authorId="0" shapeId="0">
      <text>
        <t>Planner
Tên người lập kế hoạch.</t>
      </text>
    </comment>
    <comment ref="A12" authorId="0" shapeId="0">
      <text>
        <t>Kiểm tra sẵn sàng release
Tất cả phải PASS trước khi giao job cho shop floor.</t>
      </text>
    </comment>
    <comment ref="F14" authorId="0" shapeId="0">
      <text>
        <t>Job packet
Bản vẽ đúng rev, routing, setup sheet trong packet.</t>
      </text>
    </comment>
    <comment ref="F15" authorId="0" shapeId="0">
      <text>
        <t>Vật liệu
Kiểm tra kho có đủ hoặc PO đã xác nhận ngày nhận.</t>
      </text>
    </comment>
    <comment ref="F16" authorId="0" shapeId="0">
      <text>
        <t>Routing và setup sheet
FRM-302 phải là revision hiện hành.</t>
      </text>
    </comment>
    <comment ref="F17" authorId="0" shapeId="0">
      <text>
        <t>Dao cụ và đồ gá
Tất cả tools/fixtures sẵn sàng.</t>
      </text>
    </comment>
    <comment ref="F18" authorId="0" shapeId="0">
      <text>
        <t>Lịch máy
Máy đã schedule, không xung đột.</t>
      </text>
    </comment>
    <comment ref="F19" authorId="0" shapeId="0">
      <text>
        <t>Outsource
NCC xác nhận lead time. NA nếu không outsource.</t>
      </text>
    </comment>
    <comment ref="F20" authorId="0" shapeId="0">
      <text>
        <t>Kế hoạch kiểm tra
Gages in cal, CMM program ready.</t>
      </text>
    </comment>
    <comment ref="F21" authorId="0" shapeId="0">
      <text>
        <t>Quyết định
RELEASE nếu tất cả OK. HOLD nếu còn vấn đề → ghi lý do.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PLANNING RELEASE CHECKLIST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FRM-501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Planning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Production Director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Release Date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Planner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RELEASE READINESS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DOC</t>
        </is>
      </c>
      <c r="D14" s="493" t="n"/>
      <c r="E14" s="491" t="n"/>
      <c r="F14" s="494" t="inlineStr">
        <is>
          <t>Drawing and job packet complete.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All documents in job packet.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9" t="inlineStr">
        <is>
          <t>TEC</t>
        </is>
      </c>
      <c r="D15" s="493" t="n"/>
      <c r="E15" s="491" t="n"/>
      <c r="F15" s="500" t="inlineStr">
        <is>
          <t>Material available (stock or PO confirmed).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Material status verified.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9" t="inlineStr">
        <is>
          <t>TEC</t>
        </is>
      </c>
      <c r="D16" s="493" t="n"/>
      <c r="E16" s="491" t="n"/>
      <c r="F16" s="494" t="inlineStr">
        <is>
          <t>Routing and setup sheet released (FRM-302).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Setup sheet current revision.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501" t="inlineStr">
        <is>
          <t>CAP</t>
        </is>
      </c>
      <c r="D17" s="493" t="n"/>
      <c r="E17" s="491" t="n"/>
      <c r="F17" s="500" t="inlineStr">
        <is>
          <t>Tooling and fixtures available.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Tool list checked, all items in stock.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501" t="inlineStr">
        <is>
          <t>CAP</t>
        </is>
      </c>
      <c r="D18" s="493" t="n"/>
      <c r="E18" s="491" t="n"/>
      <c r="F18" s="494" t="inlineStr">
        <is>
          <t>Machine scheduled, no capacity conflict.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Production schedule confirmed.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501" t="inlineStr">
        <is>
          <t>CAP</t>
        </is>
      </c>
      <c r="D19" s="493" t="n"/>
      <c r="E19" s="491" t="n"/>
      <c r="F19" s="500" t="inlineStr">
        <is>
          <t>Outsource lead time fits delivery.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Supplier confirmed date.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2" t="inlineStr">
        <is>
          <t>QUA</t>
        </is>
      </c>
      <c r="D20" s="493" t="n"/>
      <c r="E20" s="491" t="n"/>
      <c r="F20" s="494" t="inlineStr">
        <is>
          <t>Inspection plan and gages ready.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Measurement capability confirmed.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492" t="inlineStr">
        <is>
          <t>OPS</t>
        </is>
      </c>
      <c r="D21" s="493" t="n"/>
      <c r="E21" s="491" t="n"/>
      <c r="F21" s="500" t="inlineStr">
        <is>
          <t>Release decision: RELEASE / HOLD.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All checks passed → RELEASE.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3" t="n"/>
      <c r="D22" s="493" t="n"/>
      <c r="E22" s="491" t="n"/>
      <c r="F22" s="504" t="n"/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503" t="n"/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505">
        <f>ROW()-ROW($A$14)+1</f>
        <v/>
      </c>
      <c r="B23" s="482" t="n"/>
      <c r="C23" s="506" t="n"/>
      <c r="D23" s="481" t="n"/>
      <c r="E23" s="482" t="n"/>
      <c r="F23" s="507" t="n"/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6" t="n"/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8" t="n"/>
      <c r="AG23" s="481" t="n"/>
      <c r="AH23" s="481" t="n"/>
      <c r="AI23" s="482" t="n"/>
      <c r="AJ23" s="509" t="n"/>
      <c r="AK23" s="481" t="n"/>
      <c r="AL23" s="481" t="n"/>
      <c r="AM23" s="481" t="n"/>
      <c r="AN23" s="486" t="n"/>
    </row>
    <row r="24" ht="4" customHeight="1" s="264">
      <c r="A24" s="469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</row>
    <row r="25" ht="17" customHeight="1" s="264">
      <c r="A25" s="470" t="inlineStr">
        <is>
          <t xml:space="preserve">  3.  APPROVAL</t>
        </is>
      </c>
      <c r="B25" s="471" t="n"/>
      <c r="C25" s="471" t="n"/>
      <c r="D25" s="471" t="n"/>
      <c r="E25" s="471" t="n"/>
      <c r="F25" s="471" t="n"/>
      <c r="G25" s="471" t="n"/>
      <c r="H25" s="471" t="n"/>
      <c r="I25" s="471" t="n"/>
      <c r="J25" s="471" t="n"/>
      <c r="K25" s="471" t="n"/>
      <c r="L25" s="471" t="n"/>
      <c r="M25" s="471" t="n"/>
      <c r="N25" s="471" t="n"/>
      <c r="O25" s="471" t="n"/>
      <c r="P25" s="471" t="n"/>
      <c r="Q25" s="471" t="n"/>
      <c r="R25" s="471" t="n"/>
      <c r="S25" s="471" t="n"/>
      <c r="T25" s="471" t="n"/>
      <c r="U25" s="471" t="n"/>
      <c r="V25" s="471" t="n"/>
      <c r="W25" s="471" t="n"/>
      <c r="X25" s="471" t="n"/>
      <c r="Y25" s="471" t="n"/>
      <c r="Z25" s="471" t="n"/>
      <c r="AA25" s="471" t="n"/>
      <c r="AB25" s="471" t="n"/>
      <c r="AC25" s="471" t="n"/>
      <c r="AD25" s="471" t="n"/>
      <c r="AE25" s="471" t="n"/>
      <c r="AF25" s="471" t="n"/>
      <c r="AG25" s="471" t="n"/>
      <c r="AH25" s="471" t="n"/>
      <c r="AI25" s="471" t="n"/>
      <c r="AJ25" s="471" t="n"/>
      <c r="AK25" s="471" t="n"/>
      <c r="AL25" s="471" t="n"/>
      <c r="AM25" s="471" t="n"/>
      <c r="AN25" s="472" t="n"/>
    </row>
    <row r="26" ht="17" customHeight="1" s="264">
      <c r="A26" s="510" t="inlineStr">
        <is>
          <t>Planner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2" t="n"/>
      <c r="U26" s="510" t="inlineStr">
        <is>
          <t>Production Director</t>
        </is>
      </c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26" customHeight="1" s="264">
      <c r="A27" s="511" t="inlineStr">
        <is>
          <t>Name  /  Signature  /  Date</t>
        </is>
      </c>
      <c r="B27" s="512" t="n"/>
      <c r="C27" s="512" t="n"/>
      <c r="D27" s="512" t="n"/>
      <c r="E27" s="512" t="n"/>
      <c r="F27" s="512" t="n"/>
      <c r="G27" s="512" t="n"/>
      <c r="H27" s="512" t="n"/>
      <c r="I27" s="512" t="n"/>
      <c r="J27" s="512" t="n"/>
      <c r="K27" s="512" t="n"/>
      <c r="L27" s="512" t="n"/>
      <c r="M27" s="512" t="n"/>
      <c r="N27" s="512" t="n"/>
      <c r="O27" s="512" t="n"/>
      <c r="P27" s="512" t="n"/>
      <c r="Q27" s="512" t="n"/>
      <c r="R27" s="512" t="n"/>
      <c r="S27" s="512" t="n"/>
      <c r="T27" s="513" t="n"/>
      <c r="U27" s="511" t="inlineStr">
        <is>
          <t>Name  /  Signature  /  Date</t>
        </is>
      </c>
      <c r="V27" s="512" t="n"/>
      <c r="W27" s="512" t="n"/>
      <c r="X27" s="512" t="n"/>
      <c r="Y27" s="512" t="n"/>
      <c r="Z27" s="512" t="n"/>
      <c r="AA27" s="512" t="n"/>
      <c r="AB27" s="512" t="n"/>
      <c r="AC27" s="512" t="n"/>
      <c r="AD27" s="512" t="n"/>
      <c r="AE27" s="512" t="n"/>
      <c r="AF27" s="512" t="n"/>
      <c r="AG27" s="512" t="n"/>
      <c r="AH27" s="512" t="n"/>
      <c r="AI27" s="512" t="n"/>
      <c r="AJ27" s="512" t="n"/>
      <c r="AK27" s="512" t="n"/>
      <c r="AL27" s="512" t="n"/>
      <c r="AM27" s="512" t="n"/>
      <c r="AN27" s="513" t="n"/>
    </row>
    <row r="28" ht="26" customHeight="1" s="264">
      <c r="A28" s="514" t="n"/>
      <c r="T28" s="515" t="n"/>
      <c r="U28" s="514" t="n"/>
      <c r="AN28" s="515" t="n"/>
    </row>
    <row r="29" ht="26" customHeight="1" s="264">
      <c r="A29" s="516" t="n"/>
      <c r="B29" s="481" t="n"/>
      <c r="C29" s="481" t="n"/>
      <c r="D29" s="481" t="n"/>
      <c r="E29" s="481" t="n"/>
      <c r="F29" s="481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6" t="n"/>
      <c r="U29" s="516" t="n"/>
      <c r="V29" s="481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1" t="n"/>
      <c r="AM29" s="481" t="n"/>
      <c r="AN29" s="486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24" customHeight="1" s="264">
      <c r="A31" s="517" t="inlineStr">
        <is>
          <t>NOTICE — Gate before production. All HOLD must resolve before release. Ref: SOP-504.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</sheetData>
  <mergeCells count="100">
    <mergeCell ref="F23:U23"/>
    <mergeCell ref="A12:AN12"/>
    <mergeCell ref="A15:B15"/>
    <mergeCell ref="AF23:AI23"/>
    <mergeCell ref="F13:U13"/>
    <mergeCell ref="U26:AN26"/>
    <mergeCell ref="AE6:AH6"/>
    <mergeCell ref="C21:E21"/>
    <mergeCell ref="V22:AE22"/>
    <mergeCell ref="AF22:AI22"/>
    <mergeCell ref="A9:G9"/>
    <mergeCell ref="AE4:AH4"/>
    <mergeCell ref="AF18:AI18"/>
    <mergeCell ref="C23:E23"/>
    <mergeCell ref="U9:AA9"/>
    <mergeCell ref="V21:AE21"/>
    <mergeCell ref="AJ18:AN18"/>
    <mergeCell ref="V14:AE14"/>
    <mergeCell ref="F19:U19"/>
    <mergeCell ref="V23:AE23"/>
    <mergeCell ref="A24:AN24"/>
    <mergeCell ref="H9:T9"/>
    <mergeCell ref="I2:AD4"/>
    <mergeCell ref="V13:AE13"/>
    <mergeCell ref="C18:E18"/>
    <mergeCell ref="A17:B17"/>
    <mergeCell ref="A22:B22"/>
    <mergeCell ref="F20:U20"/>
    <mergeCell ref="A2:H6"/>
    <mergeCell ref="AJ20:AN20"/>
    <mergeCell ref="A19:B19"/>
    <mergeCell ref="A25:AN25"/>
    <mergeCell ref="F17:U17"/>
    <mergeCell ref="AF15:AI15"/>
    <mergeCell ref="C20:E20"/>
    <mergeCell ref="AJ22:AN22"/>
    <mergeCell ref="AJ21:AN21"/>
    <mergeCell ref="I5:AD5"/>
    <mergeCell ref="C22:E22"/>
    <mergeCell ref="A10:G10"/>
    <mergeCell ref="AJ14:AN14"/>
    <mergeCell ref="AE5:AH5"/>
    <mergeCell ref="AJ23:AN23"/>
    <mergeCell ref="U10:AA10"/>
    <mergeCell ref="AB10:AN10"/>
    <mergeCell ref="V17:AE17"/>
    <mergeCell ref="AI3:AN3"/>
    <mergeCell ref="A31:AN31"/>
    <mergeCell ref="H10:T10"/>
    <mergeCell ref="C13:E13"/>
    <mergeCell ref="A26:T26"/>
    <mergeCell ref="AI5:AN5"/>
    <mergeCell ref="V20:AE20"/>
    <mergeCell ref="C15:E15"/>
    <mergeCell ref="AF16:AI16"/>
    <mergeCell ref="A27:T29"/>
    <mergeCell ref="F18:U18"/>
    <mergeCell ref="A7:AN7"/>
    <mergeCell ref="AJ16:AN16"/>
    <mergeCell ref="V15:AE15"/>
    <mergeCell ref="AF20:AI20"/>
    <mergeCell ref="AF14:AI14"/>
    <mergeCell ref="C16:E16"/>
    <mergeCell ref="F22:U22"/>
    <mergeCell ref="V16:AE16"/>
    <mergeCell ref="AF13:AI13"/>
    <mergeCell ref="F14:U14"/>
    <mergeCell ref="V18:AE18"/>
    <mergeCell ref="AJ13:AN13"/>
    <mergeCell ref="I6:AD6"/>
    <mergeCell ref="A21:B21"/>
    <mergeCell ref="AI2:AN2"/>
    <mergeCell ref="A30:AN30"/>
    <mergeCell ref="AE3:AH3"/>
    <mergeCell ref="AJ15:AN15"/>
    <mergeCell ref="A11:AN11"/>
    <mergeCell ref="A14:B14"/>
    <mergeCell ref="A23:B23"/>
    <mergeCell ref="F21:U21"/>
    <mergeCell ref="C14:E14"/>
    <mergeCell ref="AB9:AN9"/>
    <mergeCell ref="AI6:AN6"/>
    <mergeCell ref="AF17:AI17"/>
    <mergeCell ref="AI4:AN4"/>
    <mergeCell ref="A8:AN8"/>
    <mergeCell ref="AJ17:AN17"/>
    <mergeCell ref="AF19:AI19"/>
    <mergeCell ref="A16:B16"/>
    <mergeCell ref="C17:E17"/>
    <mergeCell ref="AJ19:AN19"/>
    <mergeCell ref="A18:B18"/>
    <mergeCell ref="U27:AN29"/>
    <mergeCell ref="F16:U16"/>
    <mergeCell ref="C19:E19"/>
    <mergeCell ref="AE2:AH2"/>
    <mergeCell ref="F15:U15"/>
    <mergeCell ref="V19:AE19"/>
    <mergeCell ref="A20:B20"/>
    <mergeCell ref="A13:B13"/>
    <mergeCell ref="AF21:AI21"/>
  </mergeCells>
  <conditionalFormatting sqref="AF14:AF23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 AF22 AF23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2026-03-23T13:47:00Z</dcterms:modified>
  <cp:lastModifiedBy>Johny</cp:lastModifiedBy>
  <cp:lastPrinted>2026-03-23T09:06:37Z</cp:lastPrinted>
</cp:coreProperties>
</file>