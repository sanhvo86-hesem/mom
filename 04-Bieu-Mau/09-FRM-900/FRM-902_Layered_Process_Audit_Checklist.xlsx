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58" t="inlineStr">
        <is>
          <t>LAYERED PROCESS AUDIT CHECKLIST</t>
        </is>
      </c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59" t="inlineStr">
        <is>
          <t>Form Code</t>
        </is>
      </c>
      <c r="AF1" s="127" t="n"/>
      <c r="AG1" s="127" t="n"/>
      <c r="AH1" s="128" t="n"/>
      <c r="AI1" s="62" t="inlineStr">
        <is>
          <t>FRM-902</t>
        </is>
      </c>
      <c r="AJ1" s="127" t="n"/>
      <c r="AK1" s="127" t="n"/>
      <c r="AL1" s="127" t="n"/>
      <c r="AM1" s="127" t="n"/>
      <c r="AN1" s="128" t="n"/>
    </row>
    <row r="2" ht="15" customHeight="1">
      <c r="A2" s="129" t="n"/>
      <c r="I2" s="129" t="n"/>
      <c r="AE2" s="65" t="inlineStr">
        <is>
          <t>Revision</t>
        </is>
      </c>
      <c r="AF2" s="130" t="n"/>
      <c r="AG2" s="130" t="n"/>
      <c r="AH2" s="131" t="n"/>
      <c r="AI2" s="68" t="inlineStr">
        <is>
          <t>V0</t>
        </is>
      </c>
      <c r="AJ2" s="130" t="n"/>
      <c r="AK2" s="130" t="n"/>
      <c r="AL2" s="130" t="n"/>
      <c r="AM2" s="130" t="n"/>
      <c r="AN2" s="131" t="n"/>
    </row>
    <row r="3" ht="15" customHeight="1">
      <c r="A3" s="129" t="n"/>
      <c r="I3" s="132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65" t="inlineStr">
        <is>
          <t>Eff. Date</t>
        </is>
      </c>
      <c r="AF3" s="130" t="n"/>
      <c r="AG3" s="130" t="n"/>
      <c r="AH3" s="131" t="n"/>
      <c r="AI3" s="68" t="inlineStr">
        <is>
          <t>YYYY-MM-DD</t>
        </is>
      </c>
      <c r="AJ3" s="130" t="n"/>
      <c r="AK3" s="130" t="n"/>
      <c r="AL3" s="130" t="n"/>
      <c r="AM3" s="130" t="n"/>
      <c r="AN3" s="131" t="n"/>
    </row>
    <row r="4" ht="15" customHeight="1">
      <c r="A4" s="129" t="n"/>
      <c r="I4" s="70" t="inlineStr">
        <is>
          <t>Quality Management System · Controlled Document</t>
        </is>
      </c>
      <c r="AE4" s="65" t="inlineStr">
        <is>
          <t>Owner</t>
        </is>
      </c>
      <c r="AF4" s="130" t="n"/>
      <c r="AG4" s="130" t="n"/>
      <c r="AH4" s="131" t="n"/>
      <c r="AI4" s="68" t="inlineStr">
        <is>
          <t>QMS + Top Management</t>
        </is>
      </c>
      <c r="AJ4" s="130" t="n"/>
      <c r="AK4" s="130" t="n"/>
      <c r="AL4" s="130" t="n"/>
      <c r="AM4" s="130" t="n"/>
      <c r="AN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71" t="inlineStr">
        <is>
          <t>HESEM Engineering · ISO 9001 / AS9100 · Semiconductor Equipment Parts</t>
        </is>
      </c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65" t="inlineStr">
        <is>
          <t>Approved</t>
        </is>
      </c>
      <c r="AF5" s="130" t="n"/>
      <c r="AG5" s="130" t="n"/>
      <c r="AH5" s="131" t="n"/>
      <c r="AI5" s="68" t="inlineStr">
        <is>
          <t>Per authority matrix</t>
        </is>
      </c>
      <c r="AJ5" s="130" t="n"/>
      <c r="AK5" s="130" t="n"/>
      <c r="AL5" s="130" t="n"/>
      <c r="AM5" s="130" t="n"/>
      <c r="AN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</row>
    <row r="7" ht="17" customHeight="1">
      <c r="A7" s="73" t="inlineStr">
        <is>
          <t xml:space="preserve">  1. REFERENCE INFORMATION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8" t="n"/>
    </row>
    <row r="8" ht="20" customHeight="1">
      <c r="A8" s="74" t="inlineStr">
        <is>
          <t>Record ID</t>
        </is>
      </c>
      <c r="B8" s="111" t="n"/>
      <c r="C8" s="111" t="n"/>
      <c r="D8" s="111" t="n"/>
      <c r="E8" s="111" t="n"/>
      <c r="F8" s="111" t="n"/>
      <c r="G8" s="112" t="n"/>
      <c r="H8" s="77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4" t="n"/>
      <c r="U8" s="74" t="inlineStr">
        <is>
          <t>Record Status</t>
        </is>
      </c>
      <c r="V8" s="111" t="n"/>
      <c r="W8" s="111" t="n"/>
      <c r="X8" s="111" t="n"/>
      <c r="Y8" s="111" t="n"/>
      <c r="Z8" s="111" t="n"/>
      <c r="AA8" s="112" t="n"/>
      <c r="AB8" s="77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114" t="n"/>
    </row>
    <row r="9" ht="20" customHeight="1">
      <c r="A9" s="74" t="inlineStr">
        <is>
          <t>Department / Owner</t>
        </is>
      </c>
      <c r="B9" s="111" t="n"/>
      <c r="C9" s="111" t="n"/>
      <c r="D9" s="111" t="n"/>
      <c r="E9" s="111" t="n"/>
      <c r="F9" s="111" t="n"/>
      <c r="G9" s="112" t="n"/>
      <c r="H9" s="77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4" t="n"/>
      <c r="U9" s="74" t="inlineStr">
        <is>
          <t>Prepared By</t>
        </is>
      </c>
      <c r="V9" s="111" t="n"/>
      <c r="W9" s="111" t="n"/>
      <c r="X9" s="111" t="n"/>
      <c r="Y9" s="111" t="n"/>
      <c r="Z9" s="111" t="n"/>
      <c r="AA9" s="112" t="n"/>
      <c r="AB9" s="77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4" t="n"/>
    </row>
    <row r="10" ht="20" customHeight="1">
      <c r="A10" s="74" t="inlineStr">
        <is>
          <t>Prepared Date</t>
        </is>
      </c>
      <c r="B10" s="105" t="n"/>
      <c r="C10" s="105" t="n"/>
      <c r="D10" s="105" t="n"/>
      <c r="E10" s="105" t="n"/>
      <c r="F10" s="105" t="n"/>
      <c r="G10" s="106" t="n"/>
      <c r="H10" s="77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6" t="n"/>
      <c r="U10" s="74" t="inlineStr">
        <is>
          <t>Evidence Ref</t>
        </is>
      </c>
      <c r="V10" s="105" t="n"/>
      <c r="W10" s="105" t="n"/>
      <c r="X10" s="105" t="n"/>
      <c r="Y10" s="105" t="n"/>
      <c r="Z10" s="105" t="n"/>
      <c r="AA10" s="106" t="n"/>
      <c r="AB10" s="77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6" t="n"/>
    </row>
    <row r="11" ht="20" customHeight="1">
      <c r="A11" s="74" t="inlineStr">
        <is>
          <t>Audit / Review ID</t>
        </is>
      </c>
      <c r="B11" s="111" t="n"/>
      <c r="C11" s="111" t="n"/>
      <c r="D11" s="111" t="n"/>
      <c r="E11" s="111" t="n"/>
      <c r="F11" s="111" t="n"/>
      <c r="G11" s="112" t="n"/>
      <c r="H11" s="77" t="n"/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4" t="n"/>
      <c r="U11" s="74" t="inlineStr">
        <is>
          <t>Process / Scope</t>
        </is>
      </c>
      <c r="V11" s="111" t="n"/>
      <c r="W11" s="111" t="n"/>
      <c r="X11" s="111" t="n"/>
      <c r="Y11" s="111" t="n"/>
      <c r="Z11" s="111" t="n"/>
      <c r="AA11" s="112" t="n"/>
      <c r="AB11" s="77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4" t="n"/>
    </row>
    <row r="12" ht="20" customHeight="1">
      <c r="A12" s="73" t="inlineStr">
        <is>
          <t xml:space="preserve">  2. CHECKLIST / GATE CRITERIA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1" t="n"/>
      <c r="AH12" s="111" t="n"/>
      <c r="AI12" s="111" t="n"/>
      <c r="AJ12" s="111" t="n"/>
      <c r="AK12" s="111" t="n"/>
      <c r="AL12" s="111" t="n"/>
      <c r="AM12" s="111" t="n"/>
      <c r="AN12" s="112" t="n"/>
    </row>
    <row r="13" ht="20" customHeight="1">
      <c r="A13" s="82" t="inlineStr">
        <is>
          <t>#</t>
        </is>
      </c>
      <c r="B13" s="111" t="n"/>
      <c r="C13" s="111" t="n"/>
      <c r="D13" s="112" t="n"/>
      <c r="E13" s="82" t="inlineStr">
        <is>
          <t>Category</t>
        </is>
      </c>
      <c r="F13" s="111" t="n"/>
      <c r="G13" s="111" t="n"/>
      <c r="H13" s="112" t="n"/>
      <c r="I13" s="82" t="inlineStr">
        <is>
          <t>Requirement</t>
        </is>
      </c>
      <c r="J13" s="111" t="n"/>
      <c r="K13" s="111" t="n"/>
      <c r="L13" s="111" t="n"/>
      <c r="M13" s="111" t="n"/>
      <c r="N13" s="111" t="n"/>
      <c r="O13" s="111" t="n"/>
      <c r="P13" s="112" t="n"/>
      <c r="Q13" s="82" t="inlineStr">
        <is>
          <t>Evidence</t>
        </is>
      </c>
      <c r="R13" s="111" t="n"/>
      <c r="S13" s="111" t="n"/>
      <c r="T13" s="111" t="n"/>
      <c r="U13" s="112" t="n"/>
      <c r="V13" s="82" t="inlineStr">
        <is>
          <t>Result</t>
        </is>
      </c>
      <c r="W13" s="111" t="n"/>
      <c r="X13" s="111" t="n"/>
      <c r="Y13" s="112" t="n"/>
      <c r="Z13" s="82" t="inlineStr">
        <is>
          <t>Owner</t>
        </is>
      </c>
      <c r="AA13" s="111" t="n"/>
      <c r="AB13" s="111" t="n"/>
      <c r="AC13" s="112" t="n"/>
      <c r="AD13" s="82" t="inlineStr">
        <is>
          <t>Due</t>
        </is>
      </c>
      <c r="AE13" s="111" t="n"/>
      <c r="AF13" s="111" t="n"/>
      <c r="AG13" s="112" t="n"/>
      <c r="AH13" s="82" t="inlineStr">
        <is>
          <t>Comment</t>
        </is>
      </c>
      <c r="AI13" s="111" t="n"/>
      <c r="AJ13" s="111" t="n"/>
      <c r="AK13" s="111" t="n"/>
      <c r="AL13" s="111" t="n"/>
      <c r="AM13" s="111" t="n"/>
      <c r="AN13" s="112" t="n"/>
    </row>
    <row r="14" ht="20" customHeight="1">
      <c r="A14" s="83">
        <f>ROW()-ROW($A$14)+1</f>
        <v/>
      </c>
      <c r="B14" s="117" t="n"/>
      <c r="C14" s="117" t="n"/>
      <c r="D14" s="118" t="n"/>
      <c r="E14" s="86" t="inlineStr">
        <is>
          <t>CHECK</t>
        </is>
      </c>
      <c r="F14" s="119" t="n"/>
      <c r="G14" s="119" t="n"/>
      <c r="H14" s="120" t="n"/>
      <c r="I14" s="89" t="inlineStr">
        <is>
          <t>Current controlled work instruction available</t>
        </is>
      </c>
      <c r="J14" s="119" t="n"/>
      <c r="K14" s="119" t="n"/>
      <c r="L14" s="119" t="n"/>
      <c r="M14" s="119" t="n"/>
      <c r="N14" s="119" t="n"/>
      <c r="O14" s="119" t="n"/>
      <c r="P14" s="120" t="n"/>
      <c r="Q14" s="89" t="inlineStr">
        <is>
          <t>Latest WI / visual standard is available at point of use</t>
        </is>
      </c>
      <c r="R14" s="119" t="n"/>
      <c r="S14" s="119" t="n"/>
      <c r="T14" s="119" t="n"/>
      <c r="U14" s="120" t="n"/>
      <c r="V14" s="90" t="n"/>
      <c r="W14" s="119" t="n"/>
      <c r="X14" s="119" t="n"/>
      <c r="Y14" s="120" t="n"/>
      <c r="Z14" s="90" t="n"/>
      <c r="AA14" s="119" t="n"/>
      <c r="AB14" s="119" t="n"/>
      <c r="AC14" s="120" t="n"/>
      <c r="AD14" s="90" t="n"/>
      <c r="AE14" s="119" t="n"/>
      <c r="AF14" s="119" t="n"/>
      <c r="AG14" s="120" t="n"/>
      <c r="AH14" s="89" t="n"/>
      <c r="AI14" s="119" t="n"/>
      <c r="AJ14" s="119" t="n"/>
      <c r="AK14" s="119" t="n"/>
      <c r="AL14" s="119" t="n"/>
      <c r="AM14" s="119" t="n"/>
      <c r="AN14" s="120" t="n"/>
    </row>
    <row r="15" ht="20" customHeight="1">
      <c r="A15" s="83">
        <f>ROW()-ROW($A$14)+1</f>
        <v/>
      </c>
      <c r="B15" s="117" t="n"/>
      <c r="C15" s="117" t="n"/>
      <c r="D15" s="118" t="n"/>
      <c r="E15" s="86" t="inlineStr">
        <is>
          <t>CHECK</t>
        </is>
      </c>
      <c r="F15" s="119" t="n"/>
      <c r="G15" s="119" t="n"/>
      <c r="H15" s="120" t="n"/>
      <c r="I15" s="91" t="inlineStr">
        <is>
          <t>Traceability discipline</t>
        </is>
      </c>
      <c r="J15" s="119" t="n"/>
      <c r="K15" s="119" t="n"/>
      <c r="L15" s="119" t="n"/>
      <c r="M15" s="119" t="n"/>
      <c r="N15" s="119" t="n"/>
      <c r="O15" s="119" t="n"/>
      <c r="P15" s="120" t="n"/>
      <c r="Q15" s="91" t="inlineStr">
        <is>
          <t>Part / job / lot identification and status are correct</t>
        </is>
      </c>
      <c r="R15" s="119" t="n"/>
      <c r="S15" s="119" t="n"/>
      <c r="T15" s="119" t="n"/>
      <c r="U15" s="120" t="n"/>
      <c r="V15" s="90" t="n"/>
      <c r="W15" s="119" t="n"/>
      <c r="X15" s="119" t="n"/>
      <c r="Y15" s="120" t="n"/>
      <c r="Z15" s="90" t="n"/>
      <c r="AA15" s="119" t="n"/>
      <c r="AB15" s="119" t="n"/>
      <c r="AC15" s="120" t="n"/>
      <c r="AD15" s="90" t="n"/>
      <c r="AE15" s="119" t="n"/>
      <c r="AF15" s="119" t="n"/>
      <c r="AG15" s="120" t="n"/>
      <c r="AH15" s="91" t="n"/>
      <c r="AI15" s="119" t="n"/>
      <c r="AJ15" s="119" t="n"/>
      <c r="AK15" s="119" t="n"/>
      <c r="AL15" s="119" t="n"/>
      <c r="AM15" s="119" t="n"/>
      <c r="AN15" s="120" t="n"/>
    </row>
    <row r="16" ht="20" customHeight="1">
      <c r="A16" s="83">
        <f>ROW()-ROW($A$14)+1</f>
        <v/>
      </c>
      <c r="B16" s="117" t="n"/>
      <c r="C16" s="117" t="n"/>
      <c r="D16" s="118" t="n"/>
      <c r="E16" s="86" t="inlineStr">
        <is>
          <t>CHECK</t>
        </is>
      </c>
      <c r="F16" s="119" t="n"/>
      <c r="G16" s="119" t="n"/>
      <c r="H16" s="120" t="n"/>
      <c r="I16" s="89" t="inlineStr">
        <is>
          <t>Cleanliness / FOD discipline</t>
        </is>
      </c>
      <c r="J16" s="119" t="n"/>
      <c r="K16" s="119" t="n"/>
      <c r="L16" s="119" t="n"/>
      <c r="M16" s="119" t="n"/>
      <c r="N16" s="119" t="n"/>
      <c r="O16" s="119" t="n"/>
      <c r="P16" s="120" t="n"/>
      <c r="Q16" s="89" t="inlineStr">
        <is>
          <t>Area and product handling meet cleanliness expectations</t>
        </is>
      </c>
      <c r="R16" s="119" t="n"/>
      <c r="S16" s="119" t="n"/>
      <c r="T16" s="119" t="n"/>
      <c r="U16" s="120" t="n"/>
      <c r="V16" s="90" t="n"/>
      <c r="W16" s="119" t="n"/>
      <c r="X16" s="119" t="n"/>
      <c r="Y16" s="120" t="n"/>
      <c r="Z16" s="90" t="n"/>
      <c r="AA16" s="119" t="n"/>
      <c r="AB16" s="119" t="n"/>
      <c r="AC16" s="120" t="n"/>
      <c r="AD16" s="90" t="n"/>
      <c r="AE16" s="119" t="n"/>
      <c r="AF16" s="119" t="n"/>
      <c r="AG16" s="120" t="n"/>
      <c r="AH16" s="89" t="n"/>
      <c r="AI16" s="119" t="n"/>
      <c r="AJ16" s="119" t="n"/>
      <c r="AK16" s="119" t="n"/>
      <c r="AL16" s="119" t="n"/>
      <c r="AM16" s="119" t="n"/>
      <c r="AN16" s="120" t="n"/>
    </row>
    <row r="17" ht="20" customHeight="1">
      <c r="A17" s="83">
        <f>ROW()-ROW($A$14)+1</f>
        <v/>
      </c>
      <c r="B17" s="117" t="n"/>
      <c r="C17" s="117" t="n"/>
      <c r="D17" s="118" t="n"/>
      <c r="E17" s="86" t="inlineStr">
        <is>
          <t>CHECK</t>
        </is>
      </c>
      <c r="F17" s="119" t="n"/>
      <c r="G17" s="119" t="n"/>
      <c r="H17" s="120" t="n"/>
      <c r="I17" s="91" t="inlineStr">
        <is>
          <t>Response plan known</t>
        </is>
      </c>
      <c r="J17" s="119" t="n"/>
      <c r="K17" s="119" t="n"/>
      <c r="L17" s="119" t="n"/>
      <c r="M17" s="119" t="n"/>
      <c r="N17" s="119" t="n"/>
      <c r="O17" s="119" t="n"/>
      <c r="P17" s="120" t="n"/>
      <c r="Q17" s="91" t="inlineStr">
        <is>
          <t>Operator knows stop / escalation / containment response</t>
        </is>
      </c>
      <c r="R17" s="119" t="n"/>
      <c r="S17" s="119" t="n"/>
      <c r="T17" s="119" t="n"/>
      <c r="U17" s="120" t="n"/>
      <c r="V17" s="90" t="n"/>
      <c r="W17" s="119" t="n"/>
      <c r="X17" s="119" t="n"/>
      <c r="Y17" s="120" t="n"/>
      <c r="Z17" s="90" t="n"/>
      <c r="AA17" s="119" t="n"/>
      <c r="AB17" s="119" t="n"/>
      <c r="AC17" s="120" t="n"/>
      <c r="AD17" s="90" t="n"/>
      <c r="AE17" s="119" t="n"/>
      <c r="AF17" s="119" t="n"/>
      <c r="AG17" s="120" t="n"/>
      <c r="AH17" s="91" t="n"/>
      <c r="AI17" s="119" t="n"/>
      <c r="AJ17" s="119" t="n"/>
      <c r="AK17" s="119" t="n"/>
      <c r="AL17" s="119" t="n"/>
      <c r="AM17" s="119" t="n"/>
      <c r="AN17" s="120" t="n"/>
    </row>
    <row r="18" ht="20" customHeight="1">
      <c r="A18" s="83">
        <f>ROW()-ROW($A$14)+1</f>
        <v/>
      </c>
      <c r="B18" s="117" t="n"/>
      <c r="C18" s="117" t="n"/>
      <c r="D18" s="118" t="n"/>
      <c r="E18" s="86" t="inlineStr">
        <is>
          <t>CHECK</t>
        </is>
      </c>
      <c r="F18" s="119" t="n"/>
      <c r="G18" s="119" t="n"/>
      <c r="H18" s="120" t="n"/>
      <c r="I18" s="89" t="inlineStr">
        <is>
          <t>Check completion</t>
        </is>
      </c>
      <c r="J18" s="119" t="n"/>
      <c r="K18" s="119" t="n"/>
      <c r="L18" s="119" t="n"/>
      <c r="M18" s="119" t="n"/>
      <c r="N18" s="119" t="n"/>
      <c r="O18" s="119" t="n"/>
      <c r="P18" s="120" t="n"/>
      <c r="Q18" s="89" t="inlineStr">
        <is>
          <t>Required in-process checks or sign-offs are current</t>
        </is>
      </c>
      <c r="R18" s="119" t="n"/>
      <c r="S18" s="119" t="n"/>
      <c r="T18" s="119" t="n"/>
      <c r="U18" s="120" t="n"/>
      <c r="V18" s="90" t="n"/>
      <c r="W18" s="119" t="n"/>
      <c r="X18" s="119" t="n"/>
      <c r="Y18" s="120" t="n"/>
      <c r="Z18" s="90" t="n"/>
      <c r="AA18" s="119" t="n"/>
      <c r="AB18" s="119" t="n"/>
      <c r="AC18" s="120" t="n"/>
      <c r="AD18" s="90" t="n"/>
      <c r="AE18" s="119" t="n"/>
      <c r="AF18" s="119" t="n"/>
      <c r="AG18" s="120" t="n"/>
      <c r="AH18" s="89" t="n"/>
      <c r="AI18" s="119" t="n"/>
      <c r="AJ18" s="119" t="n"/>
      <c r="AK18" s="119" t="n"/>
      <c r="AL18" s="119" t="n"/>
      <c r="AM18" s="119" t="n"/>
      <c r="AN18" s="120" t="n"/>
    </row>
    <row r="19" ht="20" customHeight="1">
      <c r="A19" s="83">
        <f>ROW()-ROW($A$14)+1</f>
        <v/>
      </c>
      <c r="B19" s="117" t="n"/>
      <c r="C19" s="117" t="n"/>
      <c r="D19" s="118" t="n"/>
      <c r="E19" s="86" t="inlineStr">
        <is>
          <t>CHECK</t>
        </is>
      </c>
      <c r="F19" s="119" t="n"/>
      <c r="G19" s="119" t="n"/>
      <c r="H19" s="120" t="n"/>
      <c r="I19" s="91" t="inlineStr">
        <is>
          <t>Repeat miss / trend noted</t>
        </is>
      </c>
      <c r="J19" s="119" t="n"/>
      <c r="K19" s="119" t="n"/>
      <c r="L19" s="119" t="n"/>
      <c r="M19" s="119" t="n"/>
      <c r="N19" s="119" t="n"/>
      <c r="O19" s="119" t="n"/>
      <c r="P19" s="120" t="n"/>
      <c r="Q19" s="91" t="inlineStr">
        <is>
          <t>Repeat miss or concern is recorded and escalated</t>
        </is>
      </c>
      <c r="R19" s="119" t="n"/>
      <c r="S19" s="119" t="n"/>
      <c r="T19" s="119" t="n"/>
      <c r="U19" s="120" t="n"/>
      <c r="V19" s="90" t="n"/>
      <c r="W19" s="119" t="n"/>
      <c r="X19" s="119" t="n"/>
      <c r="Y19" s="120" t="n"/>
      <c r="Z19" s="90" t="n"/>
      <c r="AA19" s="119" t="n"/>
      <c r="AB19" s="119" t="n"/>
      <c r="AC19" s="120" t="n"/>
      <c r="AD19" s="90" t="n"/>
      <c r="AE19" s="119" t="n"/>
      <c r="AF19" s="119" t="n"/>
      <c r="AG19" s="120" t="n"/>
      <c r="AH19" s="91" t="n"/>
      <c r="AI19" s="119" t="n"/>
      <c r="AJ19" s="119" t="n"/>
      <c r="AK19" s="119" t="n"/>
      <c r="AL19" s="119" t="n"/>
      <c r="AM19" s="119" t="n"/>
      <c r="AN19" s="120" t="n"/>
    </row>
    <row r="20" ht="20" customHeight="1">
      <c r="A20" s="74" t="inlineStr">
        <is>
          <t>PASS Count</t>
        </is>
      </c>
      <c r="B20" s="111" t="n"/>
      <c r="C20" s="111" t="n"/>
      <c r="D20" s="112" t="n"/>
      <c r="E20" s="92">
        <f>COUNTIF(V14:V19,"PASS")</f>
        <v/>
      </c>
      <c r="F20" s="111" t="n"/>
      <c r="G20" s="111" t="n"/>
      <c r="H20" s="111" t="n"/>
      <c r="I20" s="111" t="n"/>
      <c r="J20" s="112" t="n"/>
      <c r="K20" s="74" t="inlineStr">
        <is>
          <t>HOLD Count</t>
        </is>
      </c>
      <c r="L20" s="111" t="n"/>
      <c r="M20" s="111" t="n"/>
      <c r="N20" s="112" t="n"/>
      <c r="O20" s="92">
        <f>COUNTIF(V14:V19,"HOLD")</f>
        <v/>
      </c>
      <c r="P20" s="111" t="n"/>
      <c r="Q20" s="111" t="n"/>
      <c r="R20" s="111" t="n"/>
      <c r="S20" s="111" t="n"/>
      <c r="T20" s="112" t="n"/>
      <c r="U20" s="74" t="inlineStr">
        <is>
          <t>FAIL Count</t>
        </is>
      </c>
      <c r="V20" s="111" t="n"/>
      <c r="W20" s="111" t="n"/>
      <c r="X20" s="112" t="n"/>
      <c r="Y20" s="92">
        <f>COUNTIF(V14:V19,"FAIL")</f>
        <v/>
      </c>
      <c r="Z20" s="111" t="n"/>
      <c r="AA20" s="111" t="n"/>
      <c r="AB20" s="111" t="n"/>
      <c r="AC20" s="111" t="n"/>
      <c r="AD20" s="112" t="n"/>
      <c r="AE20" s="74" t="inlineStr">
        <is>
          <t>System Gate Signal</t>
        </is>
      </c>
      <c r="AF20" s="111" t="n"/>
      <c r="AG20" s="111" t="n"/>
      <c r="AH20" s="112" t="n"/>
      <c r="AI20" s="92">
        <f>IF(Y20&gt;0,"REJECT",IF(O20&gt;0,"ON HOLD",IF(E20&gt;0,"READY","OPEN")))</f>
        <v/>
      </c>
      <c r="AJ20" s="111" t="n"/>
      <c r="AK20" s="111" t="n"/>
      <c r="AL20" s="111" t="n"/>
      <c r="AM20" s="111" t="n"/>
      <c r="AN20" s="112" t="n"/>
    </row>
    <row r="21" ht="20" customHeight="1">
      <c r="A21" s="73" t="inlineStr">
        <is>
          <t xml:space="preserve">  3. CONDITIONS / EXCEPTIONS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  <c r="AD21" s="111" t="n"/>
      <c r="AE21" s="111" t="n"/>
      <c r="AF21" s="111" t="n"/>
      <c r="AG21" s="111" t="n"/>
      <c r="AH21" s="111" t="n"/>
      <c r="AI21" s="111" t="n"/>
      <c r="AJ21" s="111" t="n"/>
      <c r="AK21" s="111" t="n"/>
      <c r="AL21" s="111" t="n"/>
      <c r="AM21" s="111" t="n"/>
      <c r="AN21" s="112" t="n"/>
    </row>
    <row r="22" ht="20" customHeight="1">
      <c r="A22" s="74" t="inlineStr">
        <is>
          <t>Condition / Exception</t>
        </is>
      </c>
      <c r="B22" s="111" t="n"/>
      <c r="C22" s="111" t="n"/>
      <c r="D22" s="111" t="n"/>
      <c r="E22" s="111" t="n"/>
      <c r="F22" s="111" t="n"/>
      <c r="G22" s="112" t="n"/>
      <c r="H22" s="77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4" t="n"/>
      <c r="U22" s="74" t="inlineStr">
        <is>
          <t>Owner</t>
        </is>
      </c>
      <c r="V22" s="111" t="n"/>
      <c r="W22" s="111" t="n"/>
      <c r="X22" s="111" t="n"/>
      <c r="Y22" s="111" t="n"/>
      <c r="Z22" s="111" t="n"/>
      <c r="AA22" s="112" t="n"/>
      <c r="AB22" s="77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4" t="n"/>
    </row>
    <row r="23" ht="26" customHeight="1">
      <c r="A23" s="74" t="inlineStr">
        <is>
          <t>Due Date</t>
        </is>
      </c>
      <c r="B23" s="105" t="n"/>
      <c r="C23" s="105" t="n"/>
      <c r="D23" s="105" t="n"/>
      <c r="E23" s="105" t="n"/>
      <c r="F23" s="105" t="n"/>
      <c r="G23" s="106" t="n"/>
      <c r="H23" s="77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6" t="n"/>
      <c r="U23" s="74" t="inlineStr">
        <is>
          <t>Escalation Ref</t>
        </is>
      </c>
      <c r="V23" s="105" t="n"/>
      <c r="W23" s="105" t="n"/>
      <c r="X23" s="105" t="n"/>
      <c r="Y23" s="105" t="n"/>
      <c r="Z23" s="105" t="n"/>
      <c r="AA23" s="106" t="n"/>
      <c r="AB23" s="77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15" t="n"/>
      <c r="AN23" s="116" t="n"/>
    </row>
    <row r="24" ht="20" customHeight="1">
      <c r="A24" s="73" t="inlineStr">
        <is>
          <t xml:space="preserve">  4. DECISION / SIGN-OFF</t>
        </is>
      </c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  <c r="AG24" s="111" t="n"/>
      <c r="AH24" s="111" t="n"/>
      <c r="AI24" s="111" t="n"/>
      <c r="AJ24" s="111" t="n"/>
      <c r="AK24" s="111" t="n"/>
      <c r="AL24" s="111" t="n"/>
      <c r="AM24" s="111" t="n"/>
      <c r="AN24" s="112" t="n"/>
    </row>
    <row r="25" ht="20" customHeight="1">
      <c r="A25" s="74" t="inlineStr">
        <is>
          <t>System Gate Signal</t>
        </is>
      </c>
      <c r="B25" s="111" t="n"/>
      <c r="C25" s="111" t="n"/>
      <c r="D25" s="111" t="n"/>
      <c r="E25" s="111" t="n"/>
      <c r="F25" s="111" t="n"/>
      <c r="G25" s="112" t="n"/>
      <c r="H25" s="77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4" t="n"/>
      <c r="U25" s="74" t="inlineStr">
        <is>
          <t>Approver</t>
        </is>
      </c>
      <c r="V25" s="111" t="n"/>
      <c r="W25" s="111" t="n"/>
      <c r="X25" s="111" t="n"/>
      <c r="Y25" s="111" t="n"/>
      <c r="Z25" s="111" t="n"/>
      <c r="AA25" s="112" t="n"/>
      <c r="AB25" s="77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4" t="n"/>
    </row>
    <row r="26" ht="20" customHeight="1">
      <c r="A26" s="74" t="inlineStr">
        <is>
          <t>Decision</t>
        </is>
      </c>
      <c r="B26" s="111" t="n"/>
      <c r="C26" s="111" t="n"/>
      <c r="D26" s="111" t="n"/>
      <c r="E26" s="111" t="n"/>
      <c r="F26" s="111" t="n"/>
      <c r="G26" s="112" t="n"/>
      <c r="H26" s="77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4" t="n"/>
      <c r="U26" s="74" t="inlineStr">
        <is>
          <t>Status</t>
        </is>
      </c>
      <c r="V26" s="111" t="n"/>
      <c r="W26" s="111" t="n"/>
      <c r="X26" s="111" t="n"/>
      <c r="Y26" s="111" t="n"/>
      <c r="Z26" s="111" t="n"/>
      <c r="AA26" s="112" t="n"/>
      <c r="AB26" s="77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4" t="n"/>
    </row>
    <row r="27" ht="20" customHeight="1">
      <c r="A27" s="74" t="inlineStr">
        <is>
          <t>Owner</t>
        </is>
      </c>
      <c r="B27" s="111" t="n"/>
      <c r="C27" s="111" t="n"/>
      <c r="D27" s="111" t="n"/>
      <c r="E27" s="111" t="n"/>
      <c r="F27" s="111" t="n"/>
      <c r="G27" s="112" t="n"/>
      <c r="H27" s="77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4" t="n"/>
      <c r="U27" s="74" t="inlineStr">
        <is>
          <t>Due Date</t>
        </is>
      </c>
      <c r="V27" s="111" t="n"/>
      <c r="W27" s="111" t="n"/>
      <c r="X27" s="111" t="n"/>
      <c r="Y27" s="111" t="n"/>
      <c r="Z27" s="111" t="n"/>
      <c r="AA27" s="112" t="n"/>
      <c r="AB27" s="77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4" t="n"/>
    </row>
    <row r="28" ht="20" customHeight="1">
      <c r="A28" s="74" t="inlineStr">
        <is>
          <t>Evidence Ref</t>
        </is>
      </c>
      <c r="B28" s="111" t="n"/>
      <c r="C28" s="111" t="n"/>
      <c r="D28" s="111" t="n"/>
      <c r="E28" s="111" t="n"/>
      <c r="F28" s="111" t="n"/>
      <c r="G28" s="112" t="n"/>
      <c r="H28" s="77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4" t="n"/>
      <c r="U28" s="74" t="inlineStr">
        <is>
          <t>Comments</t>
        </is>
      </c>
      <c r="V28" s="111" t="n"/>
      <c r="W28" s="111" t="n"/>
      <c r="X28" s="111" t="n"/>
      <c r="Y28" s="111" t="n"/>
      <c r="Z28" s="111" t="n"/>
      <c r="AA28" s="112" t="n"/>
      <c r="AB28" s="77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4" t="n"/>
    </row>
    <row r="29" ht="20" customHeight="1">
      <c r="A29" s="93" t="inlineStr">
        <is>
          <t>Prepared By</t>
        </is>
      </c>
      <c r="B29" s="108" t="n"/>
      <c r="C29" s="108" t="n"/>
      <c r="D29" s="108" t="n"/>
      <c r="E29" s="108" t="n"/>
      <c r="F29" s="108" t="n"/>
      <c r="G29" s="108" t="n"/>
      <c r="H29" s="108" t="n"/>
      <c r="I29" s="108" t="n"/>
      <c r="J29" s="108" t="n"/>
      <c r="K29" s="108" t="n"/>
      <c r="L29" s="108" t="n"/>
      <c r="M29" s="109" t="n"/>
      <c r="N29" s="93" t="inlineStr">
        <is>
          <t>Reviewed By</t>
        </is>
      </c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108" t="n"/>
      <c r="Y29" s="108" t="n"/>
      <c r="Z29" s="109" t="n"/>
      <c r="AA29" s="93" t="inlineStr">
        <is>
          <t>Approved By</t>
        </is>
      </c>
      <c r="AB29" s="108" t="n"/>
      <c r="AC29" s="108" t="n"/>
      <c r="AD29" s="108" t="n"/>
      <c r="AE29" s="108" t="n"/>
      <c r="AF29" s="108" t="n"/>
      <c r="AG29" s="108" t="n"/>
      <c r="AH29" s="108" t="n"/>
      <c r="AI29" s="108" t="n"/>
      <c r="AJ29" s="108" t="n"/>
      <c r="AK29" s="108" t="n"/>
      <c r="AL29" s="108" t="n"/>
      <c r="AM29" s="108" t="n"/>
      <c r="AN29" s="109" t="n"/>
    </row>
    <row r="30" ht="20" customHeight="1">
      <c r="A30" s="94" t="inlineStr">
        <is>
          <t>Name / Signature / Date</t>
        </is>
      </c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121" t="n"/>
      <c r="N30" s="94" t="inlineStr">
        <is>
          <t>Name / Signature / Date</t>
        </is>
      </c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  <c r="Z30" s="121" t="n"/>
      <c r="AA30" s="94" t="inlineStr">
        <is>
          <t>Name / Signature / Date</t>
        </is>
      </c>
      <c r="AB30" s="95" t="n"/>
      <c r="AC30" s="95" t="n"/>
      <c r="AD30" s="95" t="n"/>
      <c r="AE30" s="95" t="n"/>
      <c r="AF30" s="95" t="n"/>
      <c r="AG30" s="95" t="n"/>
      <c r="AH30" s="95" t="n"/>
      <c r="AI30" s="95" t="n"/>
      <c r="AJ30" s="95" t="n"/>
      <c r="AK30" s="95" t="n"/>
      <c r="AL30" s="95" t="n"/>
      <c r="AM30" s="95" t="n"/>
      <c r="AN30" s="121" t="n"/>
    </row>
    <row r="31" ht="20" customHeight="1">
      <c r="A31" s="122" t="n"/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8" t="n"/>
      <c r="M31" s="123" t="n"/>
      <c r="N31" s="122" t="n"/>
      <c r="O31" s="98" t="n"/>
      <c r="P31" s="98" t="n"/>
      <c r="Q31" s="98" t="n"/>
      <c r="R31" s="98" t="n"/>
      <c r="S31" s="98" t="n"/>
      <c r="T31" s="98" t="n"/>
      <c r="U31" s="98" t="n"/>
      <c r="V31" s="98" t="n"/>
      <c r="W31" s="98" t="n"/>
      <c r="X31" s="98" t="n"/>
      <c r="Y31" s="98" t="n"/>
      <c r="Z31" s="123" t="n"/>
      <c r="AA31" s="122" t="n"/>
      <c r="AB31" s="98" t="n"/>
      <c r="AC31" s="98" t="n"/>
      <c r="AD31" s="98" t="n"/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123" t="n"/>
    </row>
    <row r="32" ht="20" customHeight="1">
      <c r="A32" s="124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20" t="n"/>
      <c r="N32" s="124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20" t="n"/>
      <c r="AA32" s="124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20" t="n"/>
    </row>
    <row r="33" ht="20" customHeight="1">
      <c r="A33" s="101" t="inlineStr">
        <is>
          <t>NOTICE: LPAs shall verify point-of-use standards, traceability, cleanliness or FOD discipline and operator response readiness with short, direct evidence and clear follow-up ownership.</t>
        </is>
      </c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  <c r="AD33" s="111" t="n"/>
      <c r="AE33" s="111" t="n"/>
      <c r="AF33" s="111" t="n"/>
      <c r="AG33" s="111" t="n"/>
      <c r="AH33" s="111" t="n"/>
      <c r="AI33" s="111" t="n"/>
      <c r="AJ33" s="111" t="n"/>
      <c r="AK33" s="111" t="n"/>
      <c r="AL33" s="111" t="n"/>
      <c r="AM33" s="111" t="n"/>
      <c r="AN33" s="1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LAYERED PROCESS AUDIT CHECKLIST — FINDINGS AND ACTIONS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FRM-902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SOP: SOP-901 | ANNEX: ANNEX-QMS-003, ANNEX-QMS-008, ANNEX-QMS-020, ANNEX-QMS-025, ANNEX-QMS-027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Detailed finding / action sheet linked from the primary gate page.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4" t="inlineStr">
        <is>
          <t>Boundary / SoR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2" t="n"/>
      <c r="K10" s="92" t="inlineStr">
        <is>
          <t>Layered short-cycle audit only; keep separate from full internal-audit planning and conclusions.</t>
        </is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20" t="inlineStr"/>
      <c r="AD10" s="102" t="n"/>
      <c r="AE10" s="102" t="n"/>
      <c r="AF10" s="102" t="n"/>
      <c r="AG10" s="102" t="n"/>
      <c r="AH10" s="102" t="n"/>
      <c r="AI10" s="102" t="n"/>
      <c r="AJ10" s="102" t="n"/>
      <c r="AK10" s="102" t="n"/>
      <c r="AL10" s="102" t="n"/>
      <c r="AM10" s="20" t="inlineStr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73" t="inlineStr">
        <is>
          <t xml:space="preserve">  SUPPORT TABLE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2" t="inlineStr">
        <is>
          <t>Finding ID</t>
        </is>
      </c>
      <c r="B12" s="111" t="n"/>
      <c r="C12" s="111" t="n"/>
      <c r="D12" s="111" t="n"/>
      <c r="E12" s="112" t="n"/>
      <c r="F12" s="82" t="inlineStr">
        <is>
          <t>Area or Clause</t>
        </is>
      </c>
      <c r="G12" s="111" t="n"/>
      <c r="H12" s="111" t="n"/>
      <c r="I12" s="111" t="n"/>
      <c r="J12" s="112" t="n"/>
      <c r="K12" s="82" t="inlineStr">
        <is>
          <t>Objective Evidence</t>
        </is>
      </c>
      <c r="L12" s="111" t="n"/>
      <c r="M12" s="111" t="n"/>
      <c r="N12" s="111" t="n"/>
      <c r="O12" s="111" t="n"/>
      <c r="P12" s="111" t="n"/>
      <c r="Q12" s="111" t="n"/>
      <c r="R12" s="112" t="n"/>
      <c r="S12" s="82" t="inlineStr">
        <is>
          <t>Severity</t>
        </is>
      </c>
      <c r="T12" s="111" t="n"/>
      <c r="U12" s="111" t="n"/>
      <c r="V12" s="111" t="n"/>
      <c r="W12" s="111" t="n"/>
      <c r="X12" s="112" t="n"/>
      <c r="Y12" s="82" t="inlineStr">
        <is>
          <t>Containment Need</t>
        </is>
      </c>
      <c r="Z12" s="111" t="n"/>
      <c r="AA12" s="111" t="n"/>
      <c r="AB12" s="111" t="n"/>
      <c r="AC12" s="111" t="n"/>
      <c r="AD12" s="112" t="n"/>
      <c r="AE12" s="82" t="inlineStr">
        <is>
          <t>Owner</t>
        </is>
      </c>
      <c r="AF12" s="111" t="n"/>
      <c r="AG12" s="111" t="n"/>
      <c r="AH12" s="111" t="n"/>
      <c r="AI12" s="111" t="n"/>
      <c r="AJ12" s="112" t="n"/>
      <c r="AK12" s="82" t="inlineStr">
        <is>
          <t>Due Date</t>
        </is>
      </c>
      <c r="AL12" s="111" t="n"/>
      <c r="AM12" s="111" t="n"/>
      <c r="AN12" s="111" t="n"/>
      <c r="AO12" s="111" t="n"/>
      <c r="AP12" s="112" t="n"/>
      <c r="AQ12" s="82" t="inlineStr">
        <is>
          <t>Status</t>
        </is>
      </c>
      <c r="AR12" s="111" t="n"/>
      <c r="AS12" s="111" t="n"/>
      <c r="AT12" s="111" t="n"/>
      <c r="AU12" s="111" t="n"/>
      <c r="AV12" s="112" t="n"/>
      <c r="AW12" s="82" t="inlineStr">
        <is>
          <t>Link or Ref</t>
        </is>
      </c>
      <c r="AX12" s="111" t="n"/>
      <c r="AY12" s="111" t="n"/>
      <c r="AZ12" s="111" t="n"/>
      <c r="BA12" s="111" t="n"/>
      <c r="BB12" s="111" t="n"/>
      <c r="BC12" s="111" t="n"/>
      <c r="BD12" s="112" t="n"/>
    </row>
    <row r="13" ht="20" customHeight="1">
      <c r="A13" s="103" t="n"/>
      <c r="B13" s="119" t="n"/>
      <c r="C13" s="119" t="n"/>
      <c r="D13" s="119" t="n"/>
      <c r="E13" s="120" t="n"/>
      <c r="F13" s="89" t="n"/>
      <c r="G13" s="119" t="n"/>
      <c r="H13" s="119" t="n"/>
      <c r="I13" s="119" t="n"/>
      <c r="J13" s="120" t="n"/>
      <c r="K13" s="89" t="n"/>
      <c r="L13" s="119" t="n"/>
      <c r="M13" s="119" t="n"/>
      <c r="N13" s="119" t="n"/>
      <c r="O13" s="119" t="n"/>
      <c r="P13" s="119" t="n"/>
      <c r="Q13" s="119" t="n"/>
      <c r="R13" s="120" t="n"/>
      <c r="S13" s="90" t="n"/>
      <c r="T13" s="119" t="n"/>
      <c r="U13" s="119" t="n"/>
      <c r="V13" s="119" t="n"/>
      <c r="W13" s="119" t="n"/>
      <c r="X13" s="120" t="n"/>
      <c r="Y13" s="89" t="n"/>
      <c r="Z13" s="119" t="n"/>
      <c r="AA13" s="119" t="n"/>
      <c r="AB13" s="119" t="n"/>
      <c r="AC13" s="119" t="n"/>
      <c r="AD13" s="120" t="n"/>
      <c r="AE13" s="90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0" t="n"/>
      <c r="AR13" s="119" t="n"/>
      <c r="AS13" s="119" t="n"/>
      <c r="AT13" s="119" t="n"/>
      <c r="AU13" s="119" t="n"/>
      <c r="AV13" s="120" t="n"/>
      <c r="AW13" s="8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103" t="n"/>
      <c r="B14" s="119" t="n"/>
      <c r="C14" s="119" t="n"/>
      <c r="D14" s="119" t="n"/>
      <c r="E14" s="120" t="n"/>
      <c r="F14" s="91" t="n"/>
      <c r="G14" s="119" t="n"/>
      <c r="H14" s="119" t="n"/>
      <c r="I14" s="119" t="n"/>
      <c r="J14" s="120" t="n"/>
      <c r="K14" s="91" t="n"/>
      <c r="L14" s="119" t="n"/>
      <c r="M14" s="119" t="n"/>
      <c r="N14" s="119" t="n"/>
      <c r="O14" s="119" t="n"/>
      <c r="P14" s="119" t="n"/>
      <c r="Q14" s="119" t="n"/>
      <c r="R14" s="120" t="n"/>
      <c r="S14" s="90" t="n"/>
      <c r="T14" s="119" t="n"/>
      <c r="U14" s="119" t="n"/>
      <c r="V14" s="119" t="n"/>
      <c r="W14" s="119" t="n"/>
      <c r="X14" s="120" t="n"/>
      <c r="Y14" s="91" t="n"/>
      <c r="Z14" s="119" t="n"/>
      <c r="AA14" s="119" t="n"/>
      <c r="AB14" s="119" t="n"/>
      <c r="AC14" s="119" t="n"/>
      <c r="AD14" s="120" t="n"/>
      <c r="AE14" s="90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90" t="n"/>
      <c r="AR14" s="119" t="n"/>
      <c r="AS14" s="119" t="n"/>
      <c r="AT14" s="119" t="n"/>
      <c r="AU14" s="119" t="n"/>
      <c r="AV14" s="120" t="n"/>
      <c r="AW14" s="91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103" t="n"/>
      <c r="B15" s="119" t="n"/>
      <c r="C15" s="119" t="n"/>
      <c r="D15" s="119" t="n"/>
      <c r="E15" s="120" t="n"/>
      <c r="F15" s="89" t="n"/>
      <c r="G15" s="119" t="n"/>
      <c r="H15" s="119" t="n"/>
      <c r="I15" s="119" t="n"/>
      <c r="J15" s="120" t="n"/>
      <c r="K15" s="89" t="n"/>
      <c r="L15" s="119" t="n"/>
      <c r="M15" s="119" t="n"/>
      <c r="N15" s="119" t="n"/>
      <c r="O15" s="119" t="n"/>
      <c r="P15" s="119" t="n"/>
      <c r="Q15" s="119" t="n"/>
      <c r="R15" s="120" t="n"/>
      <c r="S15" s="90" t="n"/>
      <c r="T15" s="119" t="n"/>
      <c r="U15" s="119" t="n"/>
      <c r="V15" s="119" t="n"/>
      <c r="W15" s="119" t="n"/>
      <c r="X15" s="120" t="n"/>
      <c r="Y15" s="89" t="n"/>
      <c r="Z15" s="119" t="n"/>
      <c r="AA15" s="119" t="n"/>
      <c r="AB15" s="119" t="n"/>
      <c r="AC15" s="119" t="n"/>
      <c r="AD15" s="120" t="n"/>
      <c r="AE15" s="90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0" t="n"/>
      <c r="AR15" s="119" t="n"/>
      <c r="AS15" s="119" t="n"/>
      <c r="AT15" s="119" t="n"/>
      <c r="AU15" s="119" t="n"/>
      <c r="AV15" s="120" t="n"/>
      <c r="AW15" s="8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103" t="n"/>
      <c r="B16" s="119" t="n"/>
      <c r="C16" s="119" t="n"/>
      <c r="D16" s="119" t="n"/>
      <c r="E16" s="120" t="n"/>
      <c r="F16" s="91" t="n"/>
      <c r="G16" s="119" t="n"/>
      <c r="H16" s="119" t="n"/>
      <c r="I16" s="119" t="n"/>
      <c r="J16" s="120" t="n"/>
      <c r="K16" s="91" t="n"/>
      <c r="L16" s="119" t="n"/>
      <c r="M16" s="119" t="n"/>
      <c r="N16" s="119" t="n"/>
      <c r="O16" s="119" t="n"/>
      <c r="P16" s="119" t="n"/>
      <c r="Q16" s="119" t="n"/>
      <c r="R16" s="120" t="n"/>
      <c r="S16" s="90" t="n"/>
      <c r="T16" s="119" t="n"/>
      <c r="U16" s="119" t="n"/>
      <c r="V16" s="119" t="n"/>
      <c r="W16" s="119" t="n"/>
      <c r="X16" s="120" t="n"/>
      <c r="Y16" s="91" t="n"/>
      <c r="Z16" s="119" t="n"/>
      <c r="AA16" s="119" t="n"/>
      <c r="AB16" s="119" t="n"/>
      <c r="AC16" s="119" t="n"/>
      <c r="AD16" s="120" t="n"/>
      <c r="AE16" s="90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90" t="n"/>
      <c r="AR16" s="119" t="n"/>
      <c r="AS16" s="119" t="n"/>
      <c r="AT16" s="119" t="n"/>
      <c r="AU16" s="119" t="n"/>
      <c r="AV16" s="120" t="n"/>
      <c r="AW16" s="91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103" t="n"/>
      <c r="B17" s="119" t="n"/>
      <c r="C17" s="119" t="n"/>
      <c r="D17" s="119" t="n"/>
      <c r="E17" s="120" t="n"/>
      <c r="F17" s="89" t="n"/>
      <c r="G17" s="119" t="n"/>
      <c r="H17" s="119" t="n"/>
      <c r="I17" s="119" t="n"/>
      <c r="J17" s="120" t="n"/>
      <c r="K17" s="89" t="n"/>
      <c r="L17" s="119" t="n"/>
      <c r="M17" s="119" t="n"/>
      <c r="N17" s="119" t="n"/>
      <c r="O17" s="119" t="n"/>
      <c r="P17" s="119" t="n"/>
      <c r="Q17" s="119" t="n"/>
      <c r="R17" s="120" t="n"/>
      <c r="S17" s="90" t="n"/>
      <c r="T17" s="119" t="n"/>
      <c r="U17" s="119" t="n"/>
      <c r="V17" s="119" t="n"/>
      <c r="W17" s="119" t="n"/>
      <c r="X17" s="120" t="n"/>
      <c r="Y17" s="89" t="n"/>
      <c r="Z17" s="119" t="n"/>
      <c r="AA17" s="119" t="n"/>
      <c r="AB17" s="119" t="n"/>
      <c r="AC17" s="119" t="n"/>
      <c r="AD17" s="120" t="n"/>
      <c r="AE17" s="90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0" t="n"/>
      <c r="AR17" s="119" t="n"/>
      <c r="AS17" s="119" t="n"/>
      <c r="AT17" s="119" t="n"/>
      <c r="AU17" s="119" t="n"/>
      <c r="AV17" s="120" t="n"/>
      <c r="AW17" s="8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103" t="n"/>
      <c r="B18" s="119" t="n"/>
      <c r="C18" s="119" t="n"/>
      <c r="D18" s="119" t="n"/>
      <c r="E18" s="120" t="n"/>
      <c r="F18" s="91" t="n"/>
      <c r="G18" s="119" t="n"/>
      <c r="H18" s="119" t="n"/>
      <c r="I18" s="119" t="n"/>
      <c r="J18" s="120" t="n"/>
      <c r="K18" s="91" t="n"/>
      <c r="L18" s="119" t="n"/>
      <c r="M18" s="119" t="n"/>
      <c r="N18" s="119" t="n"/>
      <c r="O18" s="119" t="n"/>
      <c r="P18" s="119" t="n"/>
      <c r="Q18" s="119" t="n"/>
      <c r="R18" s="120" t="n"/>
      <c r="S18" s="90" t="n"/>
      <c r="T18" s="119" t="n"/>
      <c r="U18" s="119" t="n"/>
      <c r="V18" s="119" t="n"/>
      <c r="W18" s="119" t="n"/>
      <c r="X18" s="120" t="n"/>
      <c r="Y18" s="91" t="n"/>
      <c r="Z18" s="119" t="n"/>
      <c r="AA18" s="119" t="n"/>
      <c r="AB18" s="119" t="n"/>
      <c r="AC18" s="119" t="n"/>
      <c r="AD18" s="120" t="n"/>
      <c r="AE18" s="90" t="n"/>
      <c r="AF18" s="119" t="n"/>
      <c r="AG18" s="119" t="n"/>
      <c r="AH18" s="119" t="n"/>
      <c r="AI18" s="119" t="n"/>
      <c r="AJ18" s="120" t="n"/>
      <c r="AK18" s="90" t="n"/>
      <c r="AL18" s="119" t="n"/>
      <c r="AM18" s="119" t="n"/>
      <c r="AN18" s="119" t="n"/>
      <c r="AO18" s="119" t="n"/>
      <c r="AP18" s="120" t="n"/>
      <c r="AQ18" s="90" t="n"/>
      <c r="AR18" s="119" t="n"/>
      <c r="AS18" s="119" t="n"/>
      <c r="AT18" s="119" t="n"/>
      <c r="AU18" s="119" t="n"/>
      <c r="AV18" s="120" t="n"/>
      <c r="AW18" s="91" t="n"/>
      <c r="AX18" s="119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101" t="inlineStr">
        <is>
          <t>NOTICE: Use one row per finding. Record objective evidence, severity, owner, due date and verification reference; avoid vague or conclusion-only wording.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5" t="n"/>
      <c r="AM19" s="105" t="n"/>
      <c r="AN19" s="105" t="n"/>
      <c r="AO19" s="105" t="n"/>
      <c r="AP19" s="105" t="n"/>
      <c r="AQ19" s="105" t="n"/>
      <c r="AR19" s="105" t="n"/>
      <c r="AS19" s="105" t="n"/>
      <c r="AT19" s="105" t="n"/>
      <c r="AU19" s="105" t="n"/>
      <c r="AV19" s="105" t="n"/>
      <c r="AW19" s="105" t="n"/>
      <c r="AX19" s="105" t="n"/>
      <c r="AY19" s="105" t="n"/>
      <c r="AZ19" s="105" t="n"/>
      <c r="BA19" s="105" t="n"/>
      <c r="BB19" s="105" t="n"/>
      <c r="BC19" s="105" t="n"/>
      <c r="BD19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LAYERED PROCESS AUDIT CHECKLIST — EVIDENCE REFERENCE REGISTER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FRM-902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M365 evidence stays SSOT; workbook captures the formal study / gate / decision record while annex rules, criteria dictionaries and authority matrices are referenced, not re-keyed.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Record traceable evidence references only; do not duplicate system-owned master data.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3" t="inlineStr">
        <is>
          <t xml:space="preserve">  SUPPORT TABLE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  <c r="AG10" s="111" t="n"/>
      <c r="AH10" s="111" t="n"/>
      <c r="AI10" s="111" t="n"/>
      <c r="AJ10" s="111" t="n"/>
      <c r="AK10" s="111" t="n"/>
      <c r="AL10" s="111" t="n"/>
      <c r="AM10" s="111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82" t="inlineStr">
        <is>
          <t>Evidence ID</t>
        </is>
      </c>
      <c r="B11" s="111" t="n"/>
      <c r="C11" s="111" t="n"/>
      <c r="D11" s="111" t="n"/>
      <c r="E11" s="111" t="n"/>
      <c r="F11" s="111" t="n"/>
      <c r="G11" s="111" t="n"/>
      <c r="H11" s="112" t="n"/>
      <c r="I11" s="82" t="inlineStr">
        <is>
          <t>Related Record</t>
        </is>
      </c>
      <c r="J11" s="111" t="n"/>
      <c r="K11" s="111" t="n"/>
      <c r="L11" s="111" t="n"/>
      <c r="M11" s="112" t="n"/>
      <c r="N11" s="82" t="inlineStr">
        <is>
          <t>Description</t>
        </is>
      </c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2" t="n"/>
      <c r="Y11" s="82" t="inlineStr">
        <is>
          <t>Source System</t>
        </is>
      </c>
      <c r="Z11" s="111" t="n"/>
      <c r="AA11" s="111" t="n"/>
      <c r="AB11" s="111" t="n"/>
      <c r="AC11" s="112" t="n"/>
      <c r="AD11" s="82" t="inlineStr">
        <is>
          <t>Reference Path or Link</t>
        </is>
      </c>
      <c r="AE11" s="111" t="n"/>
      <c r="AF11" s="111" t="n"/>
      <c r="AG11" s="111" t="n"/>
      <c r="AH11" s="111" t="n"/>
      <c r="AI11" s="111" t="n"/>
      <c r="AJ11" s="112" t="n"/>
      <c r="AK11" s="82" t="inlineStr">
        <is>
          <t>Owner</t>
        </is>
      </c>
      <c r="AL11" s="111" t="n"/>
      <c r="AM11" s="111" t="n"/>
      <c r="AN11" s="111" t="n"/>
      <c r="AO11" s="111" t="n"/>
      <c r="AP11" s="112" t="n"/>
      <c r="AQ11" s="82" t="inlineStr">
        <is>
          <t>Date</t>
        </is>
      </c>
      <c r="AR11" s="111" t="n"/>
      <c r="AS11" s="111" t="n"/>
      <c r="AT11" s="111" t="n"/>
      <c r="AU11" s="112" t="n"/>
      <c r="AV11" s="82" t="inlineStr">
        <is>
          <t>Notes</t>
        </is>
      </c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3" t="n"/>
      <c r="B12" s="117" t="n"/>
      <c r="C12" s="117" t="n"/>
      <c r="D12" s="117" t="n"/>
      <c r="E12" s="117" t="n"/>
      <c r="F12" s="117" t="n"/>
      <c r="G12" s="117" t="n"/>
      <c r="H12" s="118" t="n"/>
      <c r="I12" s="89" t="n"/>
      <c r="J12" s="119" t="n"/>
      <c r="K12" s="119" t="n"/>
      <c r="L12" s="119" t="n"/>
      <c r="M12" s="120" t="n"/>
      <c r="N12" s="8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89" t="n"/>
      <c r="Z12" s="119" t="n"/>
      <c r="AA12" s="119" t="n"/>
      <c r="AB12" s="119" t="n"/>
      <c r="AC12" s="120" t="n"/>
      <c r="AD12" s="89" t="n"/>
      <c r="AE12" s="119" t="n"/>
      <c r="AF12" s="119" t="n"/>
      <c r="AG12" s="119" t="n"/>
      <c r="AH12" s="119" t="n"/>
      <c r="AI12" s="119" t="n"/>
      <c r="AJ12" s="120" t="n"/>
      <c r="AK12" s="90" t="n"/>
      <c r="AL12" s="119" t="n"/>
      <c r="AM12" s="119" t="n"/>
      <c r="AN12" s="119" t="n"/>
      <c r="AO12" s="119" t="n"/>
      <c r="AP12" s="120" t="n"/>
      <c r="AQ12" s="89" t="n"/>
      <c r="AR12" s="119" t="n"/>
      <c r="AS12" s="119" t="n"/>
      <c r="AT12" s="119" t="n"/>
      <c r="AU12" s="120" t="n"/>
      <c r="AV12" s="89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83" t="n"/>
      <c r="B13" s="117" t="n"/>
      <c r="C13" s="117" t="n"/>
      <c r="D13" s="117" t="n"/>
      <c r="E13" s="117" t="n"/>
      <c r="F13" s="117" t="n"/>
      <c r="G13" s="117" t="n"/>
      <c r="H13" s="118" t="n"/>
      <c r="I13" s="91" t="n"/>
      <c r="J13" s="119" t="n"/>
      <c r="K13" s="119" t="n"/>
      <c r="L13" s="119" t="n"/>
      <c r="M13" s="120" t="n"/>
      <c r="N13" s="91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1" t="n"/>
      <c r="Z13" s="119" t="n"/>
      <c r="AA13" s="119" t="n"/>
      <c r="AB13" s="119" t="n"/>
      <c r="AC13" s="120" t="n"/>
      <c r="AD13" s="91" t="n"/>
      <c r="AE13" s="119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1" t="n"/>
      <c r="AR13" s="119" t="n"/>
      <c r="AS13" s="119" t="n"/>
      <c r="AT13" s="119" t="n"/>
      <c r="AU13" s="120" t="n"/>
      <c r="AV13" s="91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83" t="n"/>
      <c r="B14" s="117" t="n"/>
      <c r="C14" s="117" t="n"/>
      <c r="D14" s="117" t="n"/>
      <c r="E14" s="117" t="n"/>
      <c r="F14" s="117" t="n"/>
      <c r="G14" s="117" t="n"/>
      <c r="H14" s="118" t="n"/>
      <c r="I14" s="89" t="n"/>
      <c r="J14" s="119" t="n"/>
      <c r="K14" s="119" t="n"/>
      <c r="L14" s="119" t="n"/>
      <c r="M14" s="120" t="n"/>
      <c r="N14" s="8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89" t="n"/>
      <c r="Z14" s="119" t="n"/>
      <c r="AA14" s="119" t="n"/>
      <c r="AB14" s="119" t="n"/>
      <c r="AC14" s="120" t="n"/>
      <c r="AD14" s="89" t="n"/>
      <c r="AE14" s="119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89" t="n"/>
      <c r="AR14" s="119" t="n"/>
      <c r="AS14" s="119" t="n"/>
      <c r="AT14" s="119" t="n"/>
      <c r="AU14" s="120" t="n"/>
      <c r="AV14" s="8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 t="n"/>
      <c r="B15" s="117" t="n"/>
      <c r="C15" s="117" t="n"/>
      <c r="D15" s="117" t="n"/>
      <c r="E15" s="117" t="n"/>
      <c r="F15" s="117" t="n"/>
      <c r="G15" s="117" t="n"/>
      <c r="H15" s="118" t="n"/>
      <c r="I15" s="91" t="n"/>
      <c r="J15" s="119" t="n"/>
      <c r="K15" s="119" t="n"/>
      <c r="L15" s="119" t="n"/>
      <c r="M15" s="120" t="n"/>
      <c r="N15" s="91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1" t="n"/>
      <c r="Z15" s="119" t="n"/>
      <c r="AA15" s="119" t="n"/>
      <c r="AB15" s="119" t="n"/>
      <c r="AC15" s="120" t="n"/>
      <c r="AD15" s="91" t="n"/>
      <c r="AE15" s="119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1" t="n"/>
      <c r="AR15" s="119" t="n"/>
      <c r="AS15" s="119" t="n"/>
      <c r="AT15" s="119" t="n"/>
      <c r="AU15" s="120" t="n"/>
      <c r="AV15" s="91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 t="n"/>
      <c r="B16" s="117" t="n"/>
      <c r="C16" s="117" t="n"/>
      <c r="D16" s="117" t="n"/>
      <c r="E16" s="117" t="n"/>
      <c r="F16" s="117" t="n"/>
      <c r="G16" s="117" t="n"/>
      <c r="H16" s="118" t="n"/>
      <c r="I16" s="89" t="n"/>
      <c r="J16" s="119" t="n"/>
      <c r="K16" s="119" t="n"/>
      <c r="L16" s="119" t="n"/>
      <c r="M16" s="120" t="n"/>
      <c r="N16" s="8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89" t="n"/>
      <c r="Z16" s="119" t="n"/>
      <c r="AA16" s="119" t="n"/>
      <c r="AB16" s="119" t="n"/>
      <c r="AC16" s="120" t="n"/>
      <c r="AD16" s="89" t="n"/>
      <c r="AE16" s="119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89" t="n"/>
      <c r="AR16" s="119" t="n"/>
      <c r="AS16" s="119" t="n"/>
      <c r="AT16" s="119" t="n"/>
      <c r="AU16" s="120" t="n"/>
      <c r="AV16" s="8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 t="n"/>
      <c r="B17" s="117" t="n"/>
      <c r="C17" s="117" t="n"/>
      <c r="D17" s="117" t="n"/>
      <c r="E17" s="117" t="n"/>
      <c r="F17" s="117" t="n"/>
      <c r="G17" s="117" t="n"/>
      <c r="H17" s="118" t="n"/>
      <c r="I17" s="91" t="n"/>
      <c r="J17" s="119" t="n"/>
      <c r="K17" s="119" t="n"/>
      <c r="L17" s="119" t="n"/>
      <c r="M17" s="120" t="n"/>
      <c r="N17" s="91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1" t="n"/>
      <c r="Z17" s="119" t="n"/>
      <c r="AA17" s="119" t="n"/>
      <c r="AB17" s="119" t="n"/>
      <c r="AC17" s="120" t="n"/>
      <c r="AD17" s="91" t="n"/>
      <c r="AE17" s="119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1" t="n"/>
      <c r="AR17" s="119" t="n"/>
      <c r="AS17" s="119" t="n"/>
      <c r="AT17" s="119" t="n"/>
      <c r="AU17" s="120" t="n"/>
      <c r="AV17" s="91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101" t="inlineStr">
        <is>
          <t>NOTICE: Reference evidence by owner, date and source path only; do not duplicate system-owned master records in this support sheet.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5" t="n"/>
      <c r="AO18" s="105" t="n"/>
      <c r="AP18" s="105" t="n"/>
      <c r="AQ18" s="105" t="n"/>
      <c r="AR18" s="105" t="n"/>
      <c r="AS18" s="105" t="n"/>
      <c r="AT18" s="105" t="n"/>
      <c r="AU18" s="105" t="n"/>
      <c r="AV18" s="105" t="n"/>
      <c r="AW18" s="105" t="n"/>
      <c r="AX18" s="105" t="n"/>
      <c r="AY18" s="105" t="n"/>
      <c r="AZ18" s="105" t="n"/>
      <c r="BA18" s="105" t="n"/>
      <c r="BB18" s="105" t="n"/>
      <c r="BC18" s="105" t="n"/>
      <c r="BD18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LAYERED PROCESS AUDIT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FRM-902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Top Management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  <c r="AG20" s="111" t="n"/>
      <c r="AH20" s="111" t="n"/>
      <c r="AI20" s="111" t="n"/>
      <c r="AJ20" s="111" t="n"/>
      <c r="AK20" s="111" t="n"/>
      <c r="AL20" s="111" t="n"/>
      <c r="AM20" s="111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2026-03-21T19:20:17Z</dcterms:modified>
</cp:coreProperties>
</file>