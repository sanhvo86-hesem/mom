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Audit / Review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Process / Scope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#</t>
        </is>
      </c>
      <c r="B13" s="6" t="n"/>
      <c r="C13" s="7" t="n"/>
      <c r="D13" s="28" t="inlineStr">
        <is>
          <t>Category</t>
        </is>
      </c>
      <c r="E13" s="6" t="n"/>
      <c r="F13" s="6" t="n"/>
      <c r="G13" s="6" t="n"/>
      <c r="H13" s="6" t="n"/>
      <c r="I13" s="7" t="n"/>
      <c r="J13" s="28" t="inlineStr">
        <is>
          <t>Requirement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7" t="n"/>
      <c r="U13" s="28" t="inlineStr">
        <is>
          <t>Evidence</t>
        </is>
      </c>
      <c r="V13" s="6" t="n"/>
      <c r="W13" s="6" t="n"/>
      <c r="X13" s="6" t="n"/>
      <c r="Y13" s="6" t="n"/>
      <c r="Z13" s="6" t="n"/>
      <c r="AA13" s="6" t="n"/>
      <c r="AB13" s="7" t="n"/>
      <c r="AC13" s="28" t="inlineStr">
        <is>
          <t>Result</t>
        </is>
      </c>
      <c r="AD13" s="6" t="n"/>
      <c r="AE13" s="6" t="n"/>
      <c r="AF13" s="6" t="n"/>
      <c r="AG13" s="6" t="n"/>
      <c r="AH13" s="7" t="n"/>
      <c r="AI13" s="28" t="inlineStr">
        <is>
          <t>Owner</t>
        </is>
      </c>
      <c r="AJ13" s="6" t="n"/>
      <c r="AK13" s="6" t="n"/>
      <c r="AL13" s="6" t="n"/>
      <c r="AM13" s="6" t="n"/>
      <c r="AN13" s="7" t="n"/>
      <c r="AO13" s="28" t="inlineStr">
        <is>
          <t>Due</t>
        </is>
      </c>
      <c r="AP13" s="6" t="n"/>
      <c r="AQ13" s="6" t="n"/>
      <c r="AR13" s="6" t="n"/>
      <c r="AS13" s="6" t="n"/>
      <c r="AT13" s="7" t="n"/>
      <c r="AU13" s="28" t="inlineStr">
        <is>
          <t>Comment</t>
        </is>
      </c>
      <c r="AV13" s="6" t="n"/>
      <c r="AW13" s="6" t="n"/>
      <c r="AX13" s="6" t="n"/>
      <c r="AY13" s="6" t="n"/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30" t="n"/>
      <c r="D14" s="31" t="inlineStr">
        <is>
          <t>CHECK</t>
        </is>
      </c>
      <c r="E14" s="32" t="n"/>
      <c r="F14" s="32" t="n"/>
      <c r="G14" s="32" t="n"/>
      <c r="H14" s="32" t="n"/>
      <c r="I14" s="33" t="n"/>
      <c r="J14" s="34" t="inlineStr">
        <is>
          <t>Role clarity</t>
        </is>
      </c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3" t="n"/>
      <c r="U14" s="34" t="inlineStr">
        <is>
          <t>Roles, authorities and handoffs are defined and followed</t>
        </is>
      </c>
      <c r="V14" s="32" t="n"/>
      <c r="W14" s="32" t="n"/>
      <c r="X14" s="32" t="n"/>
      <c r="Y14" s="32" t="n"/>
      <c r="Z14" s="32" t="n"/>
      <c r="AA14" s="32" t="n"/>
      <c r="AB14" s="33" t="n"/>
      <c r="AC14" s="35" t="n"/>
      <c r="AD14" s="32" t="n"/>
      <c r="AE14" s="32" t="n"/>
      <c r="AF14" s="32" t="n"/>
      <c r="AG14" s="32" t="n"/>
      <c r="AH14" s="33" t="n"/>
      <c r="AI14" s="35" t="n"/>
      <c r="AJ14" s="32" t="n"/>
      <c r="AK14" s="32" t="n"/>
      <c r="AL14" s="32" t="n"/>
      <c r="AM14" s="32" t="n"/>
      <c r="AN14" s="33" t="n"/>
      <c r="AO14" s="35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30" t="n"/>
      <c r="D15" s="31" t="inlineStr">
        <is>
          <t>CHECK</t>
        </is>
      </c>
      <c r="E15" s="32" t="n"/>
      <c r="F15" s="32" t="n"/>
      <c r="G15" s="32" t="n"/>
      <c r="H15" s="32" t="n"/>
      <c r="I15" s="33" t="n"/>
      <c r="J15" s="36" t="inlineStr">
        <is>
          <t>Process inputs / outputs</t>
        </is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3" t="n"/>
      <c r="U15" s="36" t="inlineStr">
        <is>
          <t>Required inputs, outputs and interfaces are controlled</t>
        </is>
      </c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2" t="n"/>
      <c r="AS15" s="32" t="n"/>
      <c r="AT15" s="33" t="n"/>
      <c r="AU15" s="36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30" t="n"/>
      <c r="D16" s="31" t="inlineStr">
        <is>
          <t>CHECK</t>
        </is>
      </c>
      <c r="E16" s="32" t="n"/>
      <c r="F16" s="32" t="n"/>
      <c r="G16" s="32" t="n"/>
      <c r="H16" s="32" t="n"/>
      <c r="I16" s="33" t="n"/>
      <c r="J16" s="34" t="inlineStr">
        <is>
          <t>Gate discipline</t>
        </is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3" t="n"/>
      <c r="U16" s="34" t="inlineStr">
        <is>
          <t>Release / hold criteria are applied objectively</t>
        </is>
      </c>
      <c r="V16" s="32" t="n"/>
      <c r="W16" s="32" t="n"/>
      <c r="X16" s="32" t="n"/>
      <c r="Y16" s="32" t="n"/>
      <c r="Z16" s="32" t="n"/>
      <c r="AA16" s="32" t="n"/>
      <c r="AB16" s="33" t="n"/>
      <c r="AC16" s="35" t="n"/>
      <c r="AD16" s="32" t="n"/>
      <c r="AE16" s="32" t="n"/>
      <c r="AF16" s="32" t="n"/>
      <c r="AG16" s="32" t="n"/>
      <c r="AH16" s="33" t="n"/>
      <c r="AI16" s="35" t="n"/>
      <c r="AJ16" s="32" t="n"/>
      <c r="AK16" s="32" t="n"/>
      <c r="AL16" s="32" t="n"/>
      <c r="AM16" s="32" t="n"/>
      <c r="AN16" s="33" t="n"/>
      <c r="AO16" s="35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30" t="n"/>
      <c r="D17" s="31" t="inlineStr">
        <is>
          <t>CHECK</t>
        </is>
      </c>
      <c r="E17" s="32" t="n"/>
      <c r="F17" s="32" t="n"/>
      <c r="G17" s="32" t="n"/>
      <c r="H17" s="32" t="n"/>
      <c r="I17" s="33" t="n"/>
      <c r="J17" s="36" t="inlineStr">
        <is>
          <t>Evidence discipline</t>
        </is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3" t="n"/>
      <c r="U17" s="36" t="inlineStr">
        <is>
          <t>Records and evidence are complete, traceable and current</t>
        </is>
      </c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2" t="n"/>
      <c r="AS17" s="32" t="n"/>
      <c r="AT17" s="33" t="n"/>
      <c r="AU17" s="36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30" t="n"/>
      <c r="D18" s="31" t="inlineStr">
        <is>
          <t>CHECK</t>
        </is>
      </c>
      <c r="E18" s="32" t="n"/>
      <c r="F18" s="32" t="n"/>
      <c r="G18" s="32" t="n"/>
      <c r="H18" s="32" t="n"/>
      <c r="I18" s="33" t="n"/>
      <c r="J18" s="34" t="inlineStr">
        <is>
          <t>KPI use and escalation</t>
        </is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3" t="n"/>
      <c r="U18" s="34" t="inlineStr">
        <is>
          <t>KPIs are reviewed and escalations / actions are recorded</t>
        </is>
      </c>
      <c r="V18" s="32" t="n"/>
      <c r="W18" s="32" t="n"/>
      <c r="X18" s="32" t="n"/>
      <c r="Y18" s="32" t="n"/>
      <c r="Z18" s="32" t="n"/>
      <c r="AA18" s="32" t="n"/>
      <c r="AB18" s="33" t="n"/>
      <c r="AC18" s="35" t="n"/>
      <c r="AD18" s="32" t="n"/>
      <c r="AE18" s="32" t="n"/>
      <c r="AF18" s="32" t="n"/>
      <c r="AG18" s="32" t="n"/>
      <c r="AH18" s="33" t="n"/>
      <c r="AI18" s="35" t="n"/>
      <c r="AJ18" s="32" t="n"/>
      <c r="AK18" s="32" t="n"/>
      <c r="AL18" s="32" t="n"/>
      <c r="AM18" s="32" t="n"/>
      <c r="AN18" s="33" t="n"/>
      <c r="AO18" s="35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30" t="n"/>
      <c r="D19" s="31" t="inlineStr">
        <is>
          <t>CHECK</t>
        </is>
      </c>
      <c r="E19" s="32" t="n"/>
      <c r="F19" s="32" t="n"/>
      <c r="G19" s="32" t="n"/>
      <c r="H19" s="32" t="n"/>
      <c r="I19" s="33" t="n"/>
      <c r="J19" s="36" t="inlineStr">
        <is>
          <t>Change / risk control</t>
        </is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3" t="n"/>
      <c r="U19" s="36" t="inlineStr">
        <is>
          <t>Changes, risks and opportunities are controlled as required</t>
        </is>
      </c>
      <c r="V19" s="32" t="n"/>
      <c r="W19" s="32" t="n"/>
      <c r="X19" s="32" t="n"/>
      <c r="Y19" s="32" t="n"/>
      <c r="Z19" s="32" t="n"/>
      <c r="AA19" s="32" t="n"/>
      <c r="AB19" s="33" t="n"/>
      <c r="AC19" s="35" t="n"/>
      <c r="AD19" s="32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2" t="n"/>
      <c r="AS19" s="32" t="n"/>
      <c r="AT19" s="33" t="n"/>
      <c r="AU19" s="36" t="n"/>
      <c r="AV19" s="32" t="n"/>
      <c r="AW19" s="32" t="n"/>
      <c r="AX19" s="32" t="n"/>
      <c r="AY19" s="32" t="n"/>
      <c r="AZ19" s="32" t="n"/>
      <c r="BA19" s="32" t="n"/>
      <c r="BB19" s="32" t="n"/>
      <c r="BC19" s="32" t="n"/>
      <c r="BD19" s="33" t="n"/>
    </row>
    <row r="20" ht="20" customHeight="1">
      <c r="A20" s="24" t="inlineStr">
        <is>
          <t>PASS Count</t>
        </is>
      </c>
      <c r="B20" s="6" t="n"/>
      <c r="C20" s="6" t="n"/>
      <c r="D20" s="6" t="n"/>
      <c r="E20" s="7" t="n"/>
      <c r="F20" s="37">
        <f>COUNTIF(AC14:AC19,"PASS")</f>
        <v/>
      </c>
      <c r="G20" s="6" t="n"/>
      <c r="H20" s="6" t="n"/>
      <c r="I20" s="6" t="n"/>
      <c r="J20" s="6" t="n"/>
      <c r="K20" s="6" t="n"/>
      <c r="L20" s="6" t="n"/>
      <c r="M20" s="6" t="n"/>
      <c r="N20" s="7" t="n"/>
      <c r="O20" s="24" t="inlineStr">
        <is>
          <t>HOLD Count</t>
        </is>
      </c>
      <c r="P20" s="6" t="n"/>
      <c r="Q20" s="6" t="n"/>
      <c r="R20" s="6" t="n"/>
      <c r="S20" s="7" t="n"/>
      <c r="T20" s="37">
        <f>COUNTIF(AC14:AC19,"HOLD")</f>
        <v/>
      </c>
      <c r="U20" s="6" t="n"/>
      <c r="V20" s="6" t="n"/>
      <c r="W20" s="6" t="n"/>
      <c r="X20" s="6" t="n"/>
      <c r="Y20" s="6" t="n"/>
      <c r="Z20" s="6" t="n"/>
      <c r="AA20" s="6" t="n"/>
      <c r="AB20" s="7" t="n"/>
      <c r="AC20" s="24" t="inlineStr">
        <is>
          <t>FAIL Count</t>
        </is>
      </c>
      <c r="AD20" s="6" t="n"/>
      <c r="AE20" s="6" t="n"/>
      <c r="AF20" s="6" t="n"/>
      <c r="AG20" s="7" t="n"/>
      <c r="AH20" s="37">
        <f>COUNTIF(AC14:AC19,"FAIL")</f>
        <v/>
      </c>
      <c r="AI20" s="6" t="n"/>
      <c r="AJ20" s="6" t="n"/>
      <c r="AK20" s="6" t="n"/>
      <c r="AL20" s="6" t="n"/>
      <c r="AM20" s="6" t="n"/>
      <c r="AN20" s="6" t="n"/>
      <c r="AO20" s="6" t="n"/>
      <c r="AP20" s="7" t="n"/>
      <c r="AQ20" s="24" t="inlineStr">
        <is>
          <t>System Gate Signal</t>
        </is>
      </c>
      <c r="AR20" s="6" t="n"/>
      <c r="AS20" s="6" t="n"/>
      <c r="AT20" s="6" t="n"/>
      <c r="AU20" s="7" t="n"/>
      <c r="AV20" s="37">
        <f>IF(AH20&gt;0,"REJECT",IF(T20&gt;0,"ON HOLD",IF(F20&gt;0,"READY","OPEN")))</f>
        <v/>
      </c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5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24" t="inlineStr">
        <is>
          <t>Owner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25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7" t="n"/>
      <c r="K23" s="25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7" t="n"/>
      <c r="AC23" s="24" t="inlineStr">
        <is>
          <t>Escalation Ref</t>
        </is>
      </c>
      <c r="AD23" s="6" t="n"/>
      <c r="AE23" s="6" t="n"/>
      <c r="AF23" s="6" t="n"/>
      <c r="AG23" s="6" t="n"/>
      <c r="AH23" s="6" t="n"/>
      <c r="AI23" s="6" t="n"/>
      <c r="AJ23" s="6" t="n"/>
      <c r="AK23" s="6" t="n"/>
      <c r="AL23" s="7" t="n"/>
      <c r="AM23" s="25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K25" s="25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7" t="n"/>
      <c r="AC25" s="24" t="inlineStr">
        <is>
          <t>Approver</t>
        </is>
      </c>
      <c r="AD25" s="6" t="n"/>
      <c r="AE25" s="6" t="n"/>
      <c r="AF25" s="6" t="n"/>
      <c r="AG25" s="6" t="n"/>
      <c r="AH25" s="6" t="n"/>
      <c r="AI25" s="6" t="n"/>
      <c r="AJ25" s="6" t="n"/>
      <c r="AK25" s="6" t="n"/>
      <c r="AL25" s="7" t="n"/>
      <c r="AM25" s="25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K26" s="25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7" t="n"/>
      <c r="AC26" s="24" t="inlineStr">
        <is>
          <t>Status</t>
        </is>
      </c>
      <c r="AD26" s="6" t="n"/>
      <c r="AE26" s="6" t="n"/>
      <c r="AF26" s="6" t="n"/>
      <c r="AG26" s="6" t="n"/>
      <c r="AH26" s="6" t="n"/>
      <c r="AI26" s="6" t="n"/>
      <c r="AJ26" s="6" t="n"/>
      <c r="AK26" s="6" t="n"/>
      <c r="AL26" s="7" t="n"/>
      <c r="AM26" s="25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  <c r="AY26" s="26" t="n"/>
      <c r="AZ26" s="26" t="n"/>
      <c r="BA26" s="26" t="n"/>
      <c r="BB26" s="26" t="n"/>
      <c r="BC26" s="26" t="n"/>
      <c r="BD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Due Date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Comments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30" t="n"/>
      <c r="S29" s="38" t="inlineStr">
        <is>
          <t>Reviewed By</t>
        </is>
      </c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30" t="n"/>
      <c r="AK29" s="38" t="inlineStr">
        <is>
          <t>Approved By</t>
        </is>
      </c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  <c r="S30" s="39" t="inlineStr">
        <is>
          <t>Name / Signature / Date</t>
        </is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1" t="n"/>
      <c r="AK30" s="39" t="inlineStr">
        <is>
          <t>Name / Signature / Date</t>
        </is>
      </c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  <c r="S31" s="42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1" t="n"/>
      <c r="AK31" s="42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  <c r="S32" s="43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3" t="n"/>
      <c r="AK32" s="43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3" t="n"/>
    </row>
    <row r="33" ht="24" customHeight="1">
      <c r="A33" s="44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</sheetData>
  <mergeCells count="130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6:BD6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Full internal audit evidence only; not a substitute for LPA or management review.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2026-03-22T10:10:49Z</dcterms:modified>
</cp:coreProperties>
</file>