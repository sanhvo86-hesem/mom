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Process / Scope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#</t>
        </is>
      </c>
      <c r="B13" s="6" t="n"/>
      <c r="C13" s="7" t="n"/>
      <c r="D13" s="28" t="inlineStr">
        <is>
          <t>Category</t>
        </is>
      </c>
      <c r="E13" s="6" t="n"/>
      <c r="F13" s="6" t="n"/>
      <c r="G13" s="6" t="n"/>
      <c r="H13" s="6" t="n"/>
      <c r="I13" s="7" t="n"/>
      <c r="J13" s="28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28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28" t="inlineStr">
        <is>
          <t>Result</t>
        </is>
      </c>
      <c r="AD13" s="6" t="n"/>
      <c r="AE13" s="6" t="n"/>
      <c r="AF13" s="6" t="n"/>
      <c r="AG13" s="6" t="n"/>
      <c r="AH13" s="7" t="n"/>
      <c r="AI13" s="28" t="inlineStr">
        <is>
          <t>Owner</t>
        </is>
      </c>
      <c r="AJ13" s="6" t="n"/>
      <c r="AK13" s="6" t="n"/>
      <c r="AL13" s="6" t="n"/>
      <c r="AM13" s="6" t="n"/>
      <c r="AN13" s="7" t="n"/>
      <c r="AO13" s="28" t="inlineStr">
        <is>
          <t>Due</t>
        </is>
      </c>
      <c r="AP13" s="6" t="n"/>
      <c r="AQ13" s="6" t="n"/>
      <c r="AR13" s="6" t="n"/>
      <c r="AS13" s="6" t="n"/>
      <c r="AT13" s="7" t="n"/>
      <c r="AU13" s="28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inlineStr">
        <is>
          <t>CHECK</t>
        </is>
      </c>
      <c r="E14" s="32" t="n"/>
      <c r="F14" s="32" t="n"/>
      <c r="G14" s="32" t="n"/>
      <c r="H14" s="32" t="n"/>
      <c r="I14" s="33" t="n"/>
      <c r="J14" s="34" t="inlineStr">
        <is>
          <t>Role clarity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3" t="n"/>
      <c r="U14" s="34" t="inlineStr">
        <is>
          <t>Roles, authorities and handoffs are defined and followed</t>
        </is>
      </c>
      <c r="V14" s="32" t="n"/>
      <c r="W14" s="32" t="n"/>
      <c r="X14" s="32" t="n"/>
      <c r="Y14" s="32" t="n"/>
      <c r="Z14" s="32" t="n"/>
      <c r="AA14" s="32" t="n"/>
      <c r="AB14" s="33" t="n"/>
      <c r="AC14" s="35" t="n"/>
      <c r="AD14" s="32" t="n"/>
      <c r="AE14" s="32" t="n"/>
      <c r="AF14" s="32" t="n"/>
      <c r="AG14" s="32" t="n"/>
      <c r="AH14" s="33" t="n"/>
      <c r="AI14" s="35" t="n"/>
      <c r="AJ14" s="32" t="n"/>
      <c r="AK14" s="32" t="n"/>
      <c r="AL14" s="32" t="n"/>
      <c r="AM14" s="32" t="n"/>
      <c r="AN14" s="33" t="n"/>
      <c r="AO14" s="35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4" t="inlineStr">
        <is>
          <t>PASS Count</t>
        </is>
      </c>
      <c r="B20" s="6" t="n"/>
      <c r="C20" s="6" t="n"/>
      <c r="D20" s="6" t="n"/>
      <c r="E20" s="7" t="n"/>
      <c r="F20" s="37">
        <f>COUNTIF(AC14:AC19,"PASS")</f>
        <v/>
      </c>
      <c r="G20" s="6" t="n"/>
      <c r="H20" s="6" t="n"/>
      <c r="I20" s="6" t="n"/>
      <c r="J20" s="6" t="n"/>
      <c r="K20" s="6" t="n"/>
      <c r="L20" s="6" t="n"/>
      <c r="M20" s="6" t="n"/>
      <c r="N20" s="7" t="n"/>
      <c r="O20" s="24" t="inlineStr">
        <is>
          <t>HOLD Count</t>
        </is>
      </c>
      <c r="P20" s="6" t="n"/>
      <c r="Q20" s="6" t="n"/>
      <c r="R20" s="6" t="n"/>
      <c r="S20" s="7" t="n"/>
      <c r="T20" s="37">
        <f>COUNTIF(AC14:AC19,"HOLD")</f>
        <v/>
      </c>
      <c r="U20" s="6" t="n"/>
      <c r="V20" s="6" t="n"/>
      <c r="W20" s="6" t="n"/>
      <c r="X20" s="6" t="n"/>
      <c r="Y20" s="6" t="n"/>
      <c r="Z20" s="6" t="n"/>
      <c r="AA20" s="6" t="n"/>
      <c r="AB20" s="7" t="n"/>
      <c r="AC20" s="24" t="inlineStr">
        <is>
          <t>FAIL Count</t>
        </is>
      </c>
      <c r="AD20" s="6" t="n"/>
      <c r="AE20" s="6" t="n"/>
      <c r="AF20" s="6" t="n"/>
      <c r="AG20" s="7" t="n"/>
      <c r="AH20" s="37">
        <f>COUNTIF(AC14:AC19,"FAIL")</f>
        <v/>
      </c>
      <c r="AI20" s="6" t="n"/>
      <c r="AJ20" s="6" t="n"/>
      <c r="AK20" s="6" t="n"/>
      <c r="AL20" s="6" t="n"/>
      <c r="AM20" s="6" t="n"/>
      <c r="AN20" s="6" t="n"/>
      <c r="AO20" s="6" t="n"/>
      <c r="AP20" s="7" t="n"/>
      <c r="AQ20" s="24" t="inlineStr">
        <is>
          <t>System Gate Signal</t>
        </is>
      </c>
      <c r="AR20" s="6" t="n"/>
      <c r="AS20" s="6" t="n"/>
      <c r="AT20" s="6" t="n"/>
      <c r="AU20" s="7" t="n"/>
      <c r="AV20" s="37">
        <f>IF(AH20&gt;0,"REJECT",IF(T20&gt;0,"ON HOLD",IF(F20&gt;0,"READY","OPEN")))</f>
        <v/>
      </c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24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5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7" t="n"/>
      <c r="K23" s="25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7" t="n"/>
      <c r="AC23" s="24" t="inlineStr">
        <is>
          <t>Escalation Ref</t>
        </is>
      </c>
      <c r="AD23" s="6" t="n"/>
      <c r="AE23" s="6" t="n"/>
      <c r="AF23" s="6" t="n"/>
      <c r="AG23" s="6" t="n"/>
      <c r="AH23" s="6" t="n"/>
      <c r="AI23" s="6" t="n"/>
      <c r="AJ23" s="6" t="n"/>
      <c r="AK23" s="6" t="n"/>
      <c r="AL23" s="7" t="n"/>
      <c r="AM23" s="25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24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25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K26" s="25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7" t="n"/>
      <c r="AC26" s="24" t="inlineStr">
        <is>
          <t>Status</t>
        </is>
      </c>
      <c r="AD26" s="6" t="n"/>
      <c r="AE26" s="6" t="n"/>
      <c r="AF26" s="6" t="n"/>
      <c r="AG26" s="6" t="n"/>
      <c r="AH26" s="6" t="n"/>
      <c r="AI26" s="6" t="n"/>
      <c r="AJ26" s="6" t="n"/>
      <c r="AK26" s="6" t="n"/>
      <c r="AL26" s="7" t="n"/>
      <c r="AM26" s="25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Due Date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Comments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8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9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9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2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2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43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43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3" t="n"/>
    </row>
    <row r="33" ht="24" customHeight="1">
      <c r="A33" s="44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</sheetData>
  <mergeCells count="130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6:BD6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Full internal audit evidence only; not a substitute for LPA or management review.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2026-03-22T10:32:11Z</dcterms:modified>
</cp:coreProperties>
</file>