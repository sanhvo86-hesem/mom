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01_Audit" sheetId="1" state="visible" r:id="rId1"/>
    <sheet xmlns:r="http://schemas.openxmlformats.org/officeDocument/2006/relationships" name="FRM901_Finding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'FRM901_Audit'!$1:$13</definedName>
    <definedName name="_xlnm.Print_Area" localSheetId="0">'FRM901_Audit'!$A$1:$BD$33</definedName>
    <definedName name="_xlnm.Print_Titles" localSheetId="1">'FRM901_Findings'!$1:$12</definedName>
    <definedName name="_xlnm.Print_Area" localSheetId="1">'FRM901_Findings'!$A$1:$BD$19</definedName>
    <definedName name="_xlnm.Print_Titles" localSheetId="2">'zLISTS'!$1:$9</definedName>
    <definedName name="_xlnm.Print_Area" localSheetId="2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<sst xmlns="http://schemas.openxmlformats.org/spreadsheetml/2006/main" count="255" uniqueCount="255">
  <si>
    <t>  1. CONTROLLED LOOKUP LISTS</t>
  </si>
  <si>
    <t>  1. REFERENCE INFORMATION</t>
  </si>
  <si>
    <t>  2. CHECKLIST / GATE CRITERIA</t>
  </si>
  <si>
    <t>  3. CONDITIONS / EXCEPTIONS</t>
  </si>
  <si>
    <t>  4. DECISION / SIGN-OFF</t>
  </si>
  <si>
    <t>  REFERENCE / SOURCE CONTEXT</t>
  </si>
  <si>
    <t>  SUPPORT TABLE</t>
  </si>
  <si>
    <t>#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</si>
  <si>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</si>
  <si>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</si>
  <si>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</si>
  <si>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</si>
  <si>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</si>
  <si>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</si>
  <si>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</si>
  <si>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</si>
  <si>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</si>
  <si>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</si>
  <si>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=COUNTIF(AC14:AC19,"FAIL")</t>
  </si>
  <si>
    <t>=COUNTIF(AC14:AC19,"HOLD")</t>
  </si>
  <si>
    <t>=COUNTIF(AC14:AC19,"PASS")</t>
  </si>
  <si>
    <t>=IF(AH20&gt;0,"REJECT",IF(T20&gt;0,"ON HOLD",IF(F20&gt;0,"READY","OPEN")))</t>
  </si>
  <si>
    <t>=ROW()-ROW($A$14)+1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</si>
  <si>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</si>
  <si>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</si>
  <si>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</si>
  <si>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</si>
  <si>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</si>
  <si>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</si>
  <si>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</si>
  <si>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</si>
  <si>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</si>
  <si>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</si>
  <si>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</si>
  <si>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</si>
  <si>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</si>
  <si>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</si>
  <si>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</si>
  <si>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Approved</t>
  </si>
  <si>
    <t>Approved By</t>
  </si>
  <si>
    <t>Approver</t>
  </si>
  <si>
    <t>Area or Clause</t>
  </si>
  <si>
    <t>Audit / Review ID</t>
  </si>
  <si>
    <t>BACKUP_FLAG</t>
  </si>
  <si>
    <t>Boundary / SoR</t>
  </si>
  <si>
    <t>CHANGE</t>
  </si>
  <si>
    <t>CHANGE_PRIORITY</t>
  </si>
  <si>
    <t>CHANGE_TYPE</t>
  </si>
  <si>
    <t>CHECK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</si>
  <si>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</si>
  <si>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</si>
  <si>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</si>
  <si>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</si>
  <si>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</si>
  <si>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</si>
  <si>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</si>
  <si>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</si>
  <si>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</si>
  <si>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</si>
  <si>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</si>
  <si>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</si>
  <si>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</si>
  <si>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</si>
  <si>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</si>
  <si>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</si>
  <si>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</si>
  <si>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</si>
  <si>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Category</t>
  </si>
  <si>
    <t>Change / risk control</t>
  </si>
  <si>
    <t>Changes, risks and opportunities are controlled as required</t>
  </si>
  <si>
    <t>Comment</t>
  </si>
  <si>
    <t>Comments</t>
  </si>
  <si>
    <t>Condition / Exception</t>
  </si>
  <si>
    <t>Containment Need</t>
  </si>
  <si>
    <t>DAILY</t>
  </si>
  <si>
    <t>DECISION</t>
  </si>
  <si>
    <t>DELIVERY</t>
  </si>
  <si>
    <t>DEPT</t>
  </si>
  <si>
    <t>DETECTION</t>
  </si>
  <si>
    <t>DIMENSIONAL</t>
  </si>
  <si>
    <t>DOCUMENT</t>
  </si>
  <si>
    <t>DOC_STATUS</t>
  </si>
  <si>
    <t>DOC_TYPE</t>
  </si>
  <si>
    <t>DRAFT</t>
  </si>
  <si>
    <t>Decision</t>
  </si>
  <si>
    <t>Department / Owner</t>
  </si>
  <si>
    <t>Detailed finding / action sheet linked from the primary gate page.</t>
  </si>
  <si>
    <t>Due</t>
  </si>
  <si>
    <t>Due Date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</si>
  <si>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</si>
  <si>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</si>
  <si>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</si>
  <si>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</si>
  <si>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</si>
  <si>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</si>
  <si>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</si>
  <si>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</si>
  <si>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</si>
  <si>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</si>
  <si>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Escalation Ref</t>
  </si>
  <si>
    <t>Evidence</t>
  </si>
  <si>
    <t>Evidence Ref</t>
  </si>
  <si>
    <t>Evidence discipline</t>
  </si>
  <si>
    <t>FAIL</t>
  </si>
  <si>
    <t>FAIL Count</t>
  </si>
  <si>
    <t>FINAL</t>
  </si>
  <si>
    <t>FIRST ARTICLE</t>
  </si>
  <si>
    <t>FIRST OFF</t>
  </si>
  <si>
    <t>FIRST PIECE</t>
  </si>
  <si>
    <t>FMEA_RANK</t>
  </si>
  <si>
    <t>FORM</t>
  </si>
  <si>
    <t>FRM-901</t>
  </si>
  <si>
    <t>FUNCTION</t>
  </si>
  <si>
    <t>FUNCTIONAL</t>
  </si>
  <si>
    <t>Finding ID</t>
  </si>
  <si>
    <t>Form Code</t>
  </si>
  <si>
    <t>Full internal audit evidence only; not a substitute for LPA or management review.</t>
  </si>
  <si>
    <t>GATE</t>
  </si>
  <si>
    <t>Gate discipline</t>
  </si>
  <si>
    <t>HESEM Engineering · ISO 9001 / AS9100 · Semiconductor Equipment Parts</t>
  </si>
  <si>
    <t>HIGH</t>
  </si>
  <si>
    <t>HOLD</t>
  </si>
  <si>
    <t>HOLD Count</t>
  </si>
  <si>
    <t>HOURLY</t>
  </si>
  <si>
    <t>HR</t>
  </si>
  <si>
    <t>IMPACT_LEVEL</t>
  </si>
  <si>
    <t>IMPACT_SCOPE</t>
  </si>
  <si>
    <t>IN PROCESS</t>
  </si>
  <si>
    <t>IN PROGRESS</t>
  </si>
  <si>
    <t>IN-PROCESS</t>
  </si>
  <si>
    <t>INTERNAL</t>
  </si>
  <si>
    <t>INTERNAL AUDIT CHECKLIST</t>
  </si>
  <si>
    <t>INTERNAL AUDIT CHECKLIST — CONTROLLED LOOKUP LISTS</t>
  </si>
  <si>
    <t>INTERNAL AUDIT CHECKLIST — FINDINGS AND ACTIONS</t>
  </si>
  <si>
    <t>IT</t>
  </si>
  <si>
    <t>KPI use and escalation</t>
  </si>
  <si>
    <t>KPI-COST</t>
  </si>
  <si>
    <t>KPI-DELIVERY</t>
  </si>
  <si>
    <t>KPI-QUALITY</t>
  </si>
  <si>
    <t>KPI-SAFETY</t>
  </si>
  <si>
    <t>KPI-TRAINING</t>
  </si>
  <si>
    <t>KPI_OWNER_SET</t>
  </si>
  <si>
    <t>KPIs are reviewed and escalations / actions are recorded</t>
  </si>
  <si>
    <t>LATE</t>
  </si>
  <si>
    <t>LESSON_CLASS</t>
  </si>
  <si>
    <t>LOW</t>
  </si>
  <si>
    <t>Link or Ref</t>
  </si>
  <si>
    <t>MAJOR</t>
  </si>
  <si>
    <t>MANAGEMENT</t>
  </si>
  <si>
    <t>MEDIUM</t>
  </si>
  <si>
    <t>MEETING</t>
  </si>
  <si>
    <t>MGT</t>
  </si>
  <si>
    <t>MINOR</t>
  </si>
  <si>
    <t>MONITORING</t>
  </si>
  <si>
    <t>NA</t>
  </si>
  <si>
    <t>NO</t>
  </si>
  <si>
    <t>NONE</t>
  </si>
  <si>
    <t>NOT AUTHORIZED</t>
  </si>
  <si>
    <t>NOT TRAINED</t>
  </si>
  <si>
    <t>NOTICE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</si>
  <si>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</si>
  <si>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</si>
  <si>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Internal audits should consider process importance, changes affecting the organization and prior results. Record objective evidence, finding severity, owner, due date and verification reference.</t>
  </si>
  <si>
    <t>NOTICE: Use one row per finding. Record objective evidence, severity, owner, due date and verification reference; avoid vague or conclusion-only wording.</t>
  </si>
  <si>
    <t>Name / Signature / Date</t>
  </si>
  <si>
    <t>OBSERVED</t>
  </si>
  <si>
    <t>OBSOLETE</t>
  </si>
  <si>
    <t>ON HOLD</t>
  </si>
  <si>
    <t>OPEN</t>
  </si>
  <si>
    <t>OWNER</t>
  </si>
  <si>
    <t>Objective Evidence</t>
  </si>
  <si>
    <t>Owner</t>
  </si>
  <si>
    <t>PASS</t>
  </si>
  <si>
    <t>PASS Count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</si>
  <si>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</si>
  <si>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</si>
  <si>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</si>
  <si>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</si>
  <si>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</si>
  <si>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</si>
  <si>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</si>
  <si>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</si>
  <si>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</si>
  <si>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</si>
  <si>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</si>
  <si>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Per authority matrix</t>
  </si>
  <si>
    <t>Prepared By</t>
  </si>
  <si>
    <t>Prepared Date</t>
  </si>
  <si>
    <t>Process / Scope</t>
  </si>
  <si>
    <t>Process inputs / outputs</t>
  </si>
  <si>
    <t>Purpose</t>
  </si>
  <si>
    <t>QA</t>
  </si>
  <si>
    <t>QMS + Top Management</t>
  </si>
  <si>
    <t>QUALITY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</si>
  <si>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</si>
  <si>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</si>
  <si>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</si>
  <si>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</si>
  <si>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</si>
  <si>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</si>
  <si>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</si>
  <si>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</si>
  <si>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</si>
  <si>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</si>
  <si>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</si>
  <si>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</si>
  <si>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</si>
  <si>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</si>
  <si>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</si>
  <si>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</si>
  <si>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</si>
  <si>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</si>
  <si>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</si>
  <si>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Record ID</t>
  </si>
  <si>
    <t>Record Status</t>
  </si>
  <si>
    <t>Records and evidence are complete, traceable and current</t>
  </si>
  <si>
    <t>Release / hold criteria are applied objectively</t>
  </si>
  <si>
    <t>Required inputs, outputs and interfaces are controlled</t>
  </si>
  <si>
    <t>Requirement</t>
  </si>
  <si>
    <t>Result</t>
  </si>
  <si>
    <t>Reviewed By</t>
  </si>
  <si>
    <t>Revision</t>
  </si>
  <si>
    <t>Role clarity</t>
  </si>
  <si>
    <t>Roles, authorities and handoffs are defined and followed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</si>
  <si>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</si>
  <si>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</si>
  <si>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</si>
  <si>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</si>
  <si>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</si>
  <si>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</si>
  <si>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</si>
  <si>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</si>
  <si>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SOP: SOP-901 | ANNEX: ANNEX-QMS-003, ANNEX-QMS-008, ANNEX-QMS-020, ANNEX-QMS-025, ANNEX-QMS-027</t>
  </si>
  <si>
    <t>STATUS</t>
  </si>
  <si>
    <t>STOP</t>
  </si>
  <si>
    <t>SUPERSEDED</t>
  </si>
  <si>
    <t>SUPERVISED</t>
  </si>
  <si>
    <t>SUSPENDED</t>
  </si>
  <si>
    <t>SWOT</t>
  </si>
  <si>
    <t>SYSTEM</t>
  </si>
  <si>
    <t>Severity</t>
  </si>
  <si>
    <t>Source Links</t>
  </si>
  <si>
    <t>Status</t>
  </si>
  <si>
    <t>System Gate Signal</t>
  </si>
  <si>
    <t>TRAINER</t>
  </si>
  <si>
    <t>TRAINING</t>
  </si>
  <si>
    <t>V0</t>
  </si>
  <si>
    <t>VIEWER</t>
  </si>
  <si>
    <t>VISUAL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</si>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</sst>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3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3" fillId="0" borderId="0"/>
  </cellStyleXfs>
  <cellXfs count="39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50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4" pivotButton="0" quotePrefix="0" xfId="0"/>
    <xf numFmtId="0" fontId="13" fillId="0" borderId="48" pivotButton="0" quotePrefix="0" xfId="0"/>
    <xf numFmtId="0" fontId="13" fillId="0" borderId="49" pivotButton="0" quotePrefix="0" xfId="0"/>
    <xf numFmtId="0" fontId="13" fillId="0" borderId="55" pivotButton="0" quotePrefix="0" xfId="0"/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Protection="1" pivotButton="0" quotePrefix="0" xfId="0">
      <protection locked="0" hidden="0"/>
    </xf>
    <xf numFmtId="0" fontId="13" fillId="0" borderId="53" applyProtection="1" pivotButton="0" quotePrefix="0" xfId="0">
      <protection locked="0" hidden="0"/>
    </xf>
    <xf numFmtId="0" fontId="14" fillId="0" borderId="48" applyAlignment="1" pivotButton="0" quotePrefix="0" xfId="0">
      <alignment horizontal="left" vertical="center" wrapText="1"/>
    </xf>
    <xf numFmtId="0" fontId="14" fillId="0" borderId="49" applyAlignment="1" pivotButton="0" quotePrefix="0" xfId="0">
      <alignment horizontal="left" vertical="center" wrapText="1"/>
    </xf>
    <xf numFmtId="0" fontId="14" fillId="0" borderId="48" applyAlignment="1" applyProtection="1" pivotButton="0" quotePrefix="0" xfId="0">
      <alignment horizontal="left" vertical="center" wrapText="1"/>
      <protection locked="0" hidden="0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47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47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13" fillId="0" borderId="36" applyProtection="1" pivotButton="0" quotePrefix="0" xfId="0"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73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3" fillId="0" borderId="74" pivotButton="0" quotePrefix="0" xfId="0"/>
    <xf numFmtId="0" fontId="13" fillId="0" borderId="80" pivotButton="0" quotePrefix="0" xfId="0"/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" fillId="2" borderId="73" applyAlignment="1" pivotButton="0" quotePrefix="0" xfId="0">
      <alignment horizontal="left" vertical="center"/>
    </xf>
    <xf numFmtId="0" fontId="16" fillId="10" borderId="78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pivotButton="0" quotePrefix="0" xfId="0">
      <alignment horizontal="center" vertical="center" wrapText="1"/>
    </xf>
    <xf numFmtId="0" fontId="13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20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7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7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7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3" fillId="2" borderId="19" pivotButton="0" quotePrefix="0" xfId="0"/>
    <xf numFmtId="0" fontId="9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3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4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3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4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6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8" fillId="4" borderId="27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1" fillId="12" borderId="145" applyAlignment="1" pivotButton="0" quotePrefix="0" xfId="0">
      <alignment horizontal="left" vertical="center" wrapText="1"/>
    </xf>
    <xf numFmtId="0" fontId="21" fillId="12" borderId="146" applyAlignment="1" pivotButton="0" quotePrefix="0" xfId="0">
      <alignment horizontal="left" vertical="center" wrapText="1"/>
    </xf>
    <xf numFmtId="0" fontId="21" fillId="12" borderId="147" applyAlignment="1" pivotButton="0" quotePrefix="0" xfId="0">
      <alignment horizontal="left" vertical="center" wrapText="1"/>
    </xf>
    <xf numFmtId="0" fontId="21" fillId="12" borderId="148" applyAlignment="1" pivotButton="0" quotePrefix="0" xfId="0">
      <alignment horizontal="left" vertical="center" wrapText="1"/>
    </xf>
    <xf numFmtId="0" fontId="0" fillId="0" borderId="151" pivotButton="0" quotePrefix="0" xfId="0"/>
    <xf numFmtId="0" fontId="0" fillId="0" borderId="15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6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INTERNAL AUDIT CHECKLIST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331" t="n"/>
      <c r="AW1" s="332" t="inlineStr">
        <is>
          <t>FRM-901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3" t="inlineStr">
        <is>
          <t>Revision</t>
        </is>
      </c>
      <c r="AR2" s="334" t="n"/>
      <c r="AS2" s="334" t="n"/>
      <c r="AT2" s="334" t="n"/>
      <c r="AU2" s="334" t="n"/>
      <c r="AV2" s="335" t="n"/>
      <c r="AW2" s="336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33" t="inlineStr">
        <is>
          <t>Eff. Date</t>
        </is>
      </c>
      <c r="AR3" s="334" t="n"/>
      <c r="AS3" s="334" t="n"/>
      <c r="AT3" s="334" t="n"/>
      <c r="AU3" s="334" t="n"/>
      <c r="AV3" s="335" t="n"/>
      <c r="AW3" s="336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3" t="inlineStr">
        <is>
          <t>Owner</t>
        </is>
      </c>
      <c r="AR4" s="334" t="n"/>
      <c r="AS4" s="334" t="n"/>
      <c r="AT4" s="334" t="n"/>
      <c r="AU4" s="334" t="n"/>
      <c r="AV4" s="335" t="n"/>
      <c r="AW4" s="336" t="inlineStr">
        <is>
          <t>QMS + Top Management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8" t="inlineStr">
        <is>
          <t>Approved</t>
        </is>
      </c>
      <c r="AR5" s="339" t="n"/>
      <c r="AS5" s="339" t="n"/>
      <c r="AT5" s="339" t="n"/>
      <c r="AU5" s="339" t="n"/>
      <c r="AV5" s="340" t="n"/>
      <c r="AW5" s="341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3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45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46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47" t="n"/>
    </row>
    <row r="9" ht="20" customHeight="1">
      <c r="A9" s="348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4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49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50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51" t="n"/>
    </row>
    <row r="10" ht="26" customHeight="1">
      <c r="A10" s="348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4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49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50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51" t="n"/>
    </row>
    <row r="11" ht="20" customHeight="1">
      <c r="A11" s="352" t="inlineStr">
        <is>
          <t>Audit / Review ID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3" t="n"/>
      <c r="K11" s="353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5" t="n"/>
      <c r="AC11" s="356" t="inlineStr">
        <is>
          <t>Process / Scope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3" t="n"/>
      <c r="AM11" s="357" t="n"/>
      <c r="AN11" s="354" t="n"/>
      <c r="AO11" s="354" t="n"/>
      <c r="AP11" s="354" t="n"/>
      <c r="AQ11" s="354" t="n"/>
      <c r="AR11" s="354" t="n"/>
      <c r="AS11" s="354" t="n"/>
      <c r="AT11" s="354" t="n"/>
      <c r="AU11" s="354" t="n"/>
      <c r="AV11" s="354" t="n"/>
      <c r="AW11" s="354" t="n"/>
      <c r="AX11" s="354" t="n"/>
      <c r="AY11" s="354" t="n"/>
      <c r="AZ11" s="354" t="n"/>
      <c r="BA11" s="354" t="n"/>
      <c r="BB11" s="354" t="n"/>
      <c r="BC11" s="354" t="n"/>
      <c r="BD11" s="358" t="n"/>
    </row>
    <row r="12" ht="18" customHeight="1">
      <c r="A12" s="343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#</t>
        </is>
      </c>
      <c r="B13" s="6" t="n"/>
      <c r="C13" s="7" t="n"/>
      <c r="D13" s="359" t="inlineStr">
        <is>
          <t>Category</t>
        </is>
      </c>
      <c r="E13" s="6" t="n"/>
      <c r="F13" s="6" t="n"/>
      <c r="G13" s="6" t="n"/>
      <c r="H13" s="6" t="n"/>
      <c r="I13" s="7" t="n"/>
      <c r="J13" s="359" t="inlineStr">
        <is>
          <t>Requirement</t>
        </is>
      </c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7" t="n"/>
      <c r="U13" s="359" t="inlineStr">
        <is>
          <t>Evidence</t>
        </is>
      </c>
      <c r="V13" s="6" t="n"/>
      <c r="W13" s="6" t="n"/>
      <c r="X13" s="6" t="n"/>
      <c r="Y13" s="6" t="n"/>
      <c r="Z13" s="6" t="n"/>
      <c r="AA13" s="6" t="n"/>
      <c r="AB13" s="7" t="n"/>
      <c r="AC13" s="359" t="inlineStr">
        <is>
          <t>Result</t>
        </is>
      </c>
      <c r="AD13" s="6" t="n"/>
      <c r="AE13" s="6" t="n"/>
      <c r="AF13" s="6" t="n"/>
      <c r="AG13" s="6" t="n"/>
      <c r="AH13" s="7" t="n"/>
      <c r="AI13" s="359" t="inlineStr">
        <is>
          <t>Owner</t>
        </is>
      </c>
      <c r="AJ13" s="6" t="n"/>
      <c r="AK13" s="6" t="n"/>
      <c r="AL13" s="6" t="n"/>
      <c r="AM13" s="6" t="n"/>
      <c r="AN13" s="7" t="n"/>
      <c r="AO13" s="359" t="inlineStr">
        <is>
          <t>Due</t>
        </is>
      </c>
      <c r="AP13" s="6" t="n"/>
      <c r="AQ13" s="6" t="n"/>
      <c r="AR13" s="6" t="n"/>
      <c r="AS13" s="6" t="n"/>
      <c r="AT13" s="7" t="n"/>
      <c r="AU13" s="360" t="inlineStr">
        <is>
          <t>Comment</t>
        </is>
      </c>
      <c r="AV13" s="6" t="n"/>
      <c r="AW13" s="6" t="n"/>
      <c r="AX13" s="6" t="n"/>
      <c r="AY13" s="6" t="n"/>
      <c r="AZ13" s="6" t="n"/>
      <c r="BA13" s="6" t="n"/>
      <c r="BB13" s="6" t="n"/>
      <c r="BC13" s="6" t="n"/>
      <c r="BD13" s="9" t="n"/>
    </row>
    <row r="14" ht="20" customHeight="1">
      <c r="A14" s="361">
        <f>ROW()-ROW($A$14)+1</f>
        <v/>
      </c>
      <c r="B14" s="6" t="n"/>
      <c r="C14" s="7" t="n"/>
      <c r="D14" s="362" t="inlineStr">
        <is>
          <t>CHECK</t>
        </is>
      </c>
      <c r="E14" s="26" t="n"/>
      <c r="F14" s="26" t="n"/>
      <c r="G14" s="26" t="n"/>
      <c r="H14" s="26" t="n"/>
      <c r="I14" s="27" t="n"/>
      <c r="J14" s="25" t="inlineStr">
        <is>
          <t>Role clarity</t>
        </is>
      </c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7" t="n"/>
      <c r="U14" s="25" t="inlineStr">
        <is>
          <t>Roles, authorities and handoffs are defined and followed</t>
        </is>
      </c>
      <c r="V14" s="26" t="n"/>
      <c r="W14" s="26" t="n"/>
      <c r="X14" s="26" t="n"/>
      <c r="Y14" s="26" t="n"/>
      <c r="Z14" s="26" t="n"/>
      <c r="AA14" s="26" t="n"/>
      <c r="AB14" s="27" t="n"/>
      <c r="AC14" s="363" t="n"/>
      <c r="AD14" s="26" t="n"/>
      <c r="AE14" s="26" t="n"/>
      <c r="AF14" s="26" t="n"/>
      <c r="AG14" s="26" t="n"/>
      <c r="AH14" s="27" t="n"/>
      <c r="AI14" s="363" t="n"/>
      <c r="AJ14" s="26" t="n"/>
      <c r="AK14" s="26" t="n"/>
      <c r="AL14" s="26" t="n"/>
      <c r="AM14" s="26" t="n"/>
      <c r="AN14" s="27" t="n"/>
      <c r="AO14" s="363" t="n"/>
      <c r="AP14" s="26" t="n"/>
      <c r="AQ14" s="26" t="n"/>
      <c r="AR14" s="26" t="n"/>
      <c r="AS14" s="26" t="n"/>
      <c r="AT14" s="27" t="n"/>
      <c r="AU14" s="34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347" t="n"/>
    </row>
    <row r="15" ht="20" customHeight="1">
      <c r="A15" s="364">
        <f>ROW()-ROW($A$14)+1</f>
        <v/>
      </c>
      <c r="B15" s="14" t="n"/>
      <c r="C15" s="30" t="n"/>
      <c r="D15" s="31" t="inlineStr">
        <is>
          <t>CHECK</t>
        </is>
      </c>
      <c r="E15" s="32" t="n"/>
      <c r="F15" s="32" t="n"/>
      <c r="G15" s="32" t="n"/>
      <c r="H15" s="32" t="n"/>
      <c r="I15" s="33" t="n"/>
      <c r="J15" s="36" t="inlineStr">
        <is>
          <t>Process inputs / outputs</t>
        </is>
      </c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3" t="n"/>
      <c r="U15" s="36" t="inlineStr">
        <is>
          <t>Required inputs, outputs and interfaces are controlled</t>
        </is>
      </c>
      <c r="V15" s="32" t="n"/>
      <c r="W15" s="32" t="n"/>
      <c r="X15" s="32" t="n"/>
      <c r="Y15" s="32" t="n"/>
      <c r="Z15" s="32" t="n"/>
      <c r="AA15" s="32" t="n"/>
      <c r="AB15" s="33" t="n"/>
      <c r="AC15" s="35" t="n"/>
      <c r="AD15" s="32" t="n"/>
      <c r="AE15" s="32" t="n"/>
      <c r="AF15" s="32" t="n"/>
      <c r="AG15" s="32" t="n"/>
      <c r="AH15" s="33" t="n"/>
      <c r="AI15" s="35" t="n"/>
      <c r="AJ15" s="32" t="n"/>
      <c r="AK15" s="32" t="n"/>
      <c r="AL15" s="32" t="n"/>
      <c r="AM15" s="32" t="n"/>
      <c r="AN15" s="33" t="n"/>
      <c r="AO15" s="35" t="n"/>
      <c r="AP15" s="32" t="n"/>
      <c r="AQ15" s="32" t="n"/>
      <c r="AR15" s="32" t="n"/>
      <c r="AS15" s="32" t="n"/>
      <c r="AT15" s="33" t="n"/>
      <c r="AU15" s="365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51" t="n"/>
    </row>
    <row r="16" ht="20" customHeight="1">
      <c r="A16" s="364">
        <f>ROW()-ROW($A$14)+1</f>
        <v/>
      </c>
      <c r="B16" s="14" t="n"/>
      <c r="C16" s="30" t="n"/>
      <c r="D16" s="31" t="inlineStr">
        <is>
          <t>CHECK</t>
        </is>
      </c>
      <c r="E16" s="32" t="n"/>
      <c r="F16" s="32" t="n"/>
      <c r="G16" s="32" t="n"/>
      <c r="H16" s="32" t="n"/>
      <c r="I16" s="33" t="n"/>
      <c r="J16" s="34" t="inlineStr">
        <is>
          <t>Gate discipline</t>
        </is>
      </c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3" t="n"/>
      <c r="U16" s="34" t="inlineStr">
        <is>
          <t>Release / hold criteria are applied objectively</t>
        </is>
      </c>
      <c r="V16" s="32" t="n"/>
      <c r="W16" s="32" t="n"/>
      <c r="X16" s="32" t="n"/>
      <c r="Y16" s="32" t="n"/>
      <c r="Z16" s="32" t="n"/>
      <c r="AA16" s="32" t="n"/>
      <c r="AB16" s="33" t="n"/>
      <c r="AC16" s="35" t="n"/>
      <c r="AD16" s="32" t="n"/>
      <c r="AE16" s="32" t="n"/>
      <c r="AF16" s="32" t="n"/>
      <c r="AG16" s="32" t="n"/>
      <c r="AH16" s="33" t="n"/>
      <c r="AI16" s="35" t="n"/>
      <c r="AJ16" s="32" t="n"/>
      <c r="AK16" s="32" t="n"/>
      <c r="AL16" s="32" t="n"/>
      <c r="AM16" s="32" t="n"/>
      <c r="AN16" s="33" t="n"/>
      <c r="AO16" s="35" t="n"/>
      <c r="AP16" s="32" t="n"/>
      <c r="AQ16" s="32" t="n"/>
      <c r="AR16" s="32" t="n"/>
      <c r="AS16" s="32" t="n"/>
      <c r="AT16" s="33" t="n"/>
      <c r="AU16" s="350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51" t="n"/>
    </row>
    <row r="17" ht="20" customHeight="1">
      <c r="A17" s="364">
        <f>ROW()-ROW($A$14)+1</f>
        <v/>
      </c>
      <c r="B17" s="14" t="n"/>
      <c r="C17" s="30" t="n"/>
      <c r="D17" s="31" t="inlineStr">
        <is>
          <t>CHECK</t>
        </is>
      </c>
      <c r="E17" s="32" t="n"/>
      <c r="F17" s="32" t="n"/>
      <c r="G17" s="32" t="n"/>
      <c r="H17" s="32" t="n"/>
      <c r="I17" s="33" t="n"/>
      <c r="J17" s="36" t="inlineStr">
        <is>
          <t>Evidence discipline</t>
        </is>
      </c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3" t="n"/>
      <c r="U17" s="36" t="inlineStr">
        <is>
          <t>Records and evidence are complete, traceable and current</t>
        </is>
      </c>
      <c r="V17" s="32" t="n"/>
      <c r="W17" s="32" t="n"/>
      <c r="X17" s="32" t="n"/>
      <c r="Y17" s="32" t="n"/>
      <c r="Z17" s="32" t="n"/>
      <c r="AA17" s="32" t="n"/>
      <c r="AB17" s="33" t="n"/>
      <c r="AC17" s="35" t="n"/>
      <c r="AD17" s="32" t="n"/>
      <c r="AE17" s="32" t="n"/>
      <c r="AF17" s="32" t="n"/>
      <c r="AG17" s="32" t="n"/>
      <c r="AH17" s="33" t="n"/>
      <c r="AI17" s="35" t="n"/>
      <c r="AJ17" s="32" t="n"/>
      <c r="AK17" s="32" t="n"/>
      <c r="AL17" s="32" t="n"/>
      <c r="AM17" s="32" t="n"/>
      <c r="AN17" s="33" t="n"/>
      <c r="AO17" s="35" t="n"/>
      <c r="AP17" s="32" t="n"/>
      <c r="AQ17" s="32" t="n"/>
      <c r="AR17" s="32" t="n"/>
      <c r="AS17" s="32" t="n"/>
      <c r="AT17" s="33" t="n"/>
      <c r="AU17" s="365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51" t="n"/>
    </row>
    <row r="18" ht="20" customHeight="1">
      <c r="A18" s="364">
        <f>ROW()-ROW($A$14)+1</f>
        <v/>
      </c>
      <c r="B18" s="14" t="n"/>
      <c r="C18" s="30" t="n"/>
      <c r="D18" s="31" t="inlineStr">
        <is>
          <t>CHECK</t>
        </is>
      </c>
      <c r="E18" s="32" t="n"/>
      <c r="F18" s="32" t="n"/>
      <c r="G18" s="32" t="n"/>
      <c r="H18" s="32" t="n"/>
      <c r="I18" s="33" t="n"/>
      <c r="J18" s="34" t="inlineStr">
        <is>
          <t>KPI use and escalation</t>
        </is>
      </c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3" t="n"/>
      <c r="U18" s="34" t="inlineStr">
        <is>
          <t>KPIs are reviewed and escalations / actions are recorded</t>
        </is>
      </c>
      <c r="V18" s="32" t="n"/>
      <c r="W18" s="32" t="n"/>
      <c r="X18" s="32" t="n"/>
      <c r="Y18" s="32" t="n"/>
      <c r="Z18" s="32" t="n"/>
      <c r="AA18" s="32" t="n"/>
      <c r="AB18" s="33" t="n"/>
      <c r="AC18" s="35" t="n"/>
      <c r="AD18" s="32" t="n"/>
      <c r="AE18" s="32" t="n"/>
      <c r="AF18" s="32" t="n"/>
      <c r="AG18" s="32" t="n"/>
      <c r="AH18" s="33" t="n"/>
      <c r="AI18" s="35" t="n"/>
      <c r="AJ18" s="32" t="n"/>
      <c r="AK18" s="32" t="n"/>
      <c r="AL18" s="32" t="n"/>
      <c r="AM18" s="32" t="n"/>
      <c r="AN18" s="33" t="n"/>
      <c r="AO18" s="35" t="n"/>
      <c r="AP18" s="32" t="n"/>
      <c r="AQ18" s="32" t="n"/>
      <c r="AR18" s="32" t="n"/>
      <c r="AS18" s="32" t="n"/>
      <c r="AT18" s="33" t="n"/>
      <c r="AU18" s="350" t="n"/>
      <c r="AV18" s="32" t="n"/>
      <c r="AW18" s="32" t="n"/>
      <c r="AX18" s="32" t="n"/>
      <c r="AY18" s="32" t="n"/>
      <c r="AZ18" s="32" t="n"/>
      <c r="BA18" s="32" t="n"/>
      <c r="BB18" s="32" t="n"/>
      <c r="BC18" s="32" t="n"/>
      <c r="BD18" s="351" t="n"/>
    </row>
    <row r="19" ht="20" customHeight="1">
      <c r="A19" s="364">
        <f>ROW()-ROW($A$14)+1</f>
        <v/>
      </c>
      <c r="B19" s="14" t="n"/>
      <c r="C19" s="30" t="n"/>
      <c r="D19" s="31" t="inlineStr">
        <is>
          <t>CHECK</t>
        </is>
      </c>
      <c r="E19" s="32" t="n"/>
      <c r="F19" s="32" t="n"/>
      <c r="G19" s="32" t="n"/>
      <c r="H19" s="32" t="n"/>
      <c r="I19" s="33" t="n"/>
      <c r="J19" s="36" t="inlineStr">
        <is>
          <t>Change / risk control</t>
        </is>
      </c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3" t="n"/>
      <c r="U19" s="36" t="inlineStr">
        <is>
          <t>Changes, risks and opportunities are controlled as required</t>
        </is>
      </c>
      <c r="V19" s="32" t="n"/>
      <c r="W19" s="32" t="n"/>
      <c r="X19" s="32" t="n"/>
      <c r="Y19" s="32" t="n"/>
      <c r="Z19" s="32" t="n"/>
      <c r="AA19" s="32" t="n"/>
      <c r="AB19" s="33" t="n"/>
      <c r="AC19" s="35" t="n"/>
      <c r="AD19" s="32" t="n"/>
      <c r="AE19" s="32" t="n"/>
      <c r="AF19" s="32" t="n"/>
      <c r="AG19" s="32" t="n"/>
      <c r="AH19" s="33" t="n"/>
      <c r="AI19" s="35" t="n"/>
      <c r="AJ19" s="32" t="n"/>
      <c r="AK19" s="32" t="n"/>
      <c r="AL19" s="32" t="n"/>
      <c r="AM19" s="32" t="n"/>
      <c r="AN19" s="33" t="n"/>
      <c r="AO19" s="35" t="n"/>
      <c r="AP19" s="32" t="n"/>
      <c r="AQ19" s="32" t="n"/>
      <c r="AR19" s="32" t="n"/>
      <c r="AS19" s="32" t="n"/>
      <c r="AT19" s="33" t="n"/>
      <c r="AU19" s="365" t="n"/>
      <c r="AV19" s="32" t="n"/>
      <c r="AW19" s="32" t="n"/>
      <c r="AX19" s="32" t="n"/>
      <c r="AY19" s="32" t="n"/>
      <c r="AZ19" s="32" t="n"/>
      <c r="BA19" s="32" t="n"/>
      <c r="BB19" s="32" t="n"/>
      <c r="BC19" s="32" t="n"/>
      <c r="BD19" s="351" t="n"/>
    </row>
    <row r="20" ht="20" customHeight="1">
      <c r="A20" s="352" t="inlineStr">
        <is>
          <t>PASS Count</t>
        </is>
      </c>
      <c r="B20" s="17" t="n"/>
      <c r="C20" s="17" t="n"/>
      <c r="D20" s="17" t="n"/>
      <c r="E20" s="53" t="n"/>
      <c r="F20" s="366">
        <f>COUNTIF(AC14:AC19,"PASS")</f>
        <v/>
      </c>
      <c r="G20" s="17" t="n"/>
      <c r="H20" s="17" t="n"/>
      <c r="I20" s="17" t="n"/>
      <c r="J20" s="17" t="n"/>
      <c r="K20" s="17" t="n"/>
      <c r="L20" s="17" t="n"/>
      <c r="M20" s="17" t="n"/>
      <c r="N20" s="53" t="n"/>
      <c r="O20" s="356" t="inlineStr">
        <is>
          <t>HOLD Count</t>
        </is>
      </c>
      <c r="P20" s="17" t="n"/>
      <c r="Q20" s="17" t="n"/>
      <c r="R20" s="17" t="n"/>
      <c r="S20" s="53" t="n"/>
      <c r="T20" s="366">
        <f>COUNTIF(AC14:AC19,"HOLD")</f>
        <v/>
      </c>
      <c r="U20" s="17" t="n"/>
      <c r="V20" s="17" t="n"/>
      <c r="W20" s="17" t="n"/>
      <c r="X20" s="17" t="n"/>
      <c r="Y20" s="17" t="n"/>
      <c r="Z20" s="17" t="n"/>
      <c r="AA20" s="17" t="n"/>
      <c r="AB20" s="53" t="n"/>
      <c r="AC20" s="356" t="inlineStr">
        <is>
          <t>FAIL Count</t>
        </is>
      </c>
      <c r="AD20" s="17" t="n"/>
      <c r="AE20" s="17" t="n"/>
      <c r="AF20" s="17" t="n"/>
      <c r="AG20" s="53" t="n"/>
      <c r="AH20" s="366">
        <f>COUNTIF(AC14:AC19,"FAIL")</f>
        <v/>
      </c>
      <c r="AI20" s="17" t="n"/>
      <c r="AJ20" s="17" t="n"/>
      <c r="AK20" s="17" t="n"/>
      <c r="AL20" s="17" t="n"/>
      <c r="AM20" s="17" t="n"/>
      <c r="AN20" s="17" t="n"/>
      <c r="AO20" s="17" t="n"/>
      <c r="AP20" s="53" t="n"/>
      <c r="AQ20" s="356" t="inlineStr">
        <is>
          <t>System Gate Signal</t>
        </is>
      </c>
      <c r="AR20" s="17" t="n"/>
      <c r="AS20" s="17" t="n"/>
      <c r="AT20" s="17" t="n"/>
      <c r="AU20" s="53" t="n"/>
      <c r="AV20" s="54">
        <f>IF(AH20&gt;0,"REJECT",IF(T20&gt;0,"ON HOLD",IF(F20&gt;0,"READY","OPEN")))</f>
        <v/>
      </c>
      <c r="AW20" s="17" t="n"/>
      <c r="AX20" s="17" t="n"/>
      <c r="AY20" s="17" t="n"/>
      <c r="AZ20" s="17" t="n"/>
      <c r="BA20" s="17" t="n"/>
      <c r="BB20" s="17" t="n"/>
      <c r="BC20" s="17" t="n"/>
      <c r="BD20" s="18" t="n"/>
    </row>
    <row r="21" ht="18" customHeight="1">
      <c r="A21" s="343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2" t="n"/>
      <c r="AO21" s="22" t="n"/>
      <c r="AP21" s="22" t="n"/>
      <c r="AQ21" s="22" t="n"/>
      <c r="AR21" s="22" t="n"/>
      <c r="AS21" s="22" t="n"/>
      <c r="AT21" s="22" t="n"/>
      <c r="AU21" s="22" t="n"/>
      <c r="AV21" s="22" t="n"/>
      <c r="AW21" s="22" t="n"/>
      <c r="AX21" s="22" t="n"/>
      <c r="AY21" s="22" t="n"/>
      <c r="AZ21" s="22" t="n"/>
      <c r="BA21" s="22" t="n"/>
      <c r="BB21" s="22" t="n"/>
      <c r="BC21" s="22" t="n"/>
      <c r="BD21" s="23" t="n"/>
    </row>
    <row r="22" ht="20" customHeight="1">
      <c r="A22" s="344" t="inlineStr">
        <is>
          <t>Condition / Exception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7" t="n"/>
      <c r="K22" s="25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7" t="n"/>
      <c r="AC22" s="345" t="inlineStr">
        <is>
          <t>Owner</t>
        </is>
      </c>
      <c r="AD22" s="6" t="n"/>
      <c r="AE22" s="6" t="n"/>
      <c r="AF22" s="6" t="n"/>
      <c r="AG22" s="6" t="n"/>
      <c r="AH22" s="6" t="n"/>
      <c r="AI22" s="6" t="n"/>
      <c r="AJ22" s="6" t="n"/>
      <c r="AK22" s="6" t="n"/>
      <c r="AL22" s="7" t="n"/>
      <c r="AM22" s="346" t="n"/>
      <c r="AN22" s="26" t="n"/>
      <c r="AO22" s="26" t="n"/>
      <c r="AP22" s="26" t="n"/>
      <c r="AQ22" s="26" t="n"/>
      <c r="AR22" s="26" t="n"/>
      <c r="AS22" s="26" t="n"/>
      <c r="AT22" s="26" t="n"/>
      <c r="AU22" s="26" t="n"/>
      <c r="AV22" s="26" t="n"/>
      <c r="AW22" s="26" t="n"/>
      <c r="AX22" s="26" t="n"/>
      <c r="AY22" s="26" t="n"/>
      <c r="AZ22" s="26" t="n"/>
      <c r="BA22" s="26" t="n"/>
      <c r="BB22" s="26" t="n"/>
      <c r="BC22" s="26" t="n"/>
      <c r="BD22" s="347" t="n"/>
    </row>
    <row r="23" ht="26" customHeight="1">
      <c r="A23" s="352" t="inlineStr">
        <is>
          <t>Due Date</t>
        </is>
      </c>
      <c r="B23" s="17" t="n"/>
      <c r="C23" s="17" t="n"/>
      <c r="D23" s="17" t="n"/>
      <c r="E23" s="17" t="n"/>
      <c r="F23" s="17" t="n"/>
      <c r="G23" s="17" t="n"/>
      <c r="H23" s="17" t="n"/>
      <c r="I23" s="17" t="n"/>
      <c r="J23" s="53" t="n"/>
      <c r="K23" s="353" t="n"/>
      <c r="L23" s="354" t="n"/>
      <c r="M23" s="354" t="n"/>
      <c r="N23" s="354" t="n"/>
      <c r="O23" s="354" t="n"/>
      <c r="P23" s="354" t="n"/>
      <c r="Q23" s="354" t="n"/>
      <c r="R23" s="354" t="n"/>
      <c r="S23" s="354" t="n"/>
      <c r="T23" s="354" t="n"/>
      <c r="U23" s="354" t="n"/>
      <c r="V23" s="354" t="n"/>
      <c r="W23" s="354" t="n"/>
      <c r="X23" s="354" t="n"/>
      <c r="Y23" s="354" t="n"/>
      <c r="Z23" s="354" t="n"/>
      <c r="AA23" s="354" t="n"/>
      <c r="AB23" s="355" t="n"/>
      <c r="AC23" s="356" t="inlineStr">
        <is>
          <t>Escalation Ref</t>
        </is>
      </c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53" t="n"/>
      <c r="AM23" s="357" t="n"/>
      <c r="AN23" s="354" t="n"/>
      <c r="AO23" s="354" t="n"/>
      <c r="AP23" s="354" t="n"/>
      <c r="AQ23" s="354" t="n"/>
      <c r="AR23" s="354" t="n"/>
      <c r="AS23" s="354" t="n"/>
      <c r="AT23" s="354" t="n"/>
      <c r="AU23" s="354" t="n"/>
      <c r="AV23" s="354" t="n"/>
      <c r="AW23" s="354" t="n"/>
      <c r="AX23" s="354" t="n"/>
      <c r="AY23" s="354" t="n"/>
      <c r="AZ23" s="354" t="n"/>
      <c r="BA23" s="354" t="n"/>
      <c r="BB23" s="354" t="n"/>
      <c r="BC23" s="354" t="n"/>
      <c r="BD23" s="358" t="n"/>
    </row>
    <row r="24" ht="18" customHeight="1">
      <c r="A24" s="343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  <c r="AP24" s="22" t="n"/>
      <c r="AQ24" s="22" t="n"/>
      <c r="AR24" s="22" t="n"/>
      <c r="AS24" s="22" t="n"/>
      <c r="AT24" s="22" t="n"/>
      <c r="AU24" s="22" t="n"/>
      <c r="AV24" s="22" t="n"/>
      <c r="AW24" s="22" t="n"/>
      <c r="AX24" s="22" t="n"/>
      <c r="AY24" s="22" t="n"/>
      <c r="AZ24" s="22" t="n"/>
      <c r="BA24" s="22" t="n"/>
      <c r="BB24" s="22" t="n"/>
      <c r="BC24" s="22" t="n"/>
      <c r="BD24" s="23" t="n"/>
    </row>
    <row r="25" ht="20" customHeight="1">
      <c r="A25" s="344" t="inlineStr">
        <is>
          <t>System Gate Signal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7" t="n"/>
      <c r="K25" s="25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  <c r="AA25" s="26" t="n"/>
      <c r="AB25" s="27" t="n"/>
      <c r="AC25" s="345" t="inlineStr">
        <is>
          <t>Approver</t>
        </is>
      </c>
      <c r="AD25" s="6" t="n"/>
      <c r="AE25" s="6" t="n"/>
      <c r="AF25" s="6" t="n"/>
      <c r="AG25" s="6" t="n"/>
      <c r="AH25" s="6" t="n"/>
      <c r="AI25" s="6" t="n"/>
      <c r="AJ25" s="6" t="n"/>
      <c r="AK25" s="6" t="n"/>
      <c r="AL25" s="7" t="n"/>
      <c r="AM25" s="346" t="n"/>
      <c r="AN25" s="26" t="n"/>
      <c r="AO25" s="26" t="n"/>
      <c r="AP25" s="26" t="n"/>
      <c r="AQ25" s="26" t="n"/>
      <c r="AR25" s="26" t="n"/>
      <c r="AS25" s="26" t="n"/>
      <c r="AT25" s="26" t="n"/>
      <c r="AU25" s="26" t="n"/>
      <c r="AV25" s="26" t="n"/>
      <c r="AW25" s="26" t="n"/>
      <c r="AX25" s="26" t="n"/>
      <c r="AY25" s="26" t="n"/>
      <c r="AZ25" s="26" t="n"/>
      <c r="BA25" s="26" t="n"/>
      <c r="BB25" s="26" t="n"/>
      <c r="BC25" s="26" t="n"/>
      <c r="BD25" s="347" t="n"/>
    </row>
    <row r="26" ht="20" customHeight="1">
      <c r="A26" s="348" t="inlineStr">
        <is>
          <t>Decision</t>
        </is>
      </c>
      <c r="B26" s="14" t="n"/>
      <c r="C26" s="14" t="n"/>
      <c r="D26" s="14" t="n"/>
      <c r="E26" s="14" t="n"/>
      <c r="F26" s="14" t="n"/>
      <c r="G26" s="14" t="n"/>
      <c r="H26" s="14" t="n"/>
      <c r="I26" s="14" t="n"/>
      <c r="J26" s="30" t="n"/>
      <c r="K26" s="34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Z26" s="32" t="n"/>
      <c r="AA26" s="32" t="n"/>
      <c r="AB26" s="33" t="n"/>
      <c r="AC26" s="349" t="inlineStr">
        <is>
          <t>Status</t>
        </is>
      </c>
      <c r="AD26" s="14" t="n"/>
      <c r="AE26" s="14" t="n"/>
      <c r="AF26" s="14" t="n"/>
      <c r="AG26" s="14" t="n"/>
      <c r="AH26" s="14" t="n"/>
      <c r="AI26" s="14" t="n"/>
      <c r="AJ26" s="14" t="n"/>
      <c r="AK26" s="14" t="n"/>
      <c r="AL26" s="30" t="n"/>
      <c r="AM26" s="350" t="n"/>
      <c r="AN26" s="32" t="n"/>
      <c r="AO26" s="32" t="n"/>
      <c r="AP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  <c r="BA26" s="32" t="n"/>
      <c r="BB26" s="32" t="n"/>
      <c r="BC26" s="32" t="n"/>
      <c r="BD26" s="351" t="n"/>
    </row>
    <row r="27" ht="20" customHeight="1">
      <c r="A27" s="348" t="inlineStr">
        <is>
          <t>Owner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30" t="n"/>
      <c r="K27" s="34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2" t="n"/>
      <c r="U27" s="32" t="n"/>
      <c r="V27" s="32" t="n"/>
      <c r="W27" s="32" t="n"/>
      <c r="X27" s="32" t="n"/>
      <c r="Y27" s="32" t="n"/>
      <c r="Z27" s="32" t="n"/>
      <c r="AA27" s="32" t="n"/>
      <c r="AB27" s="33" t="n"/>
      <c r="AC27" s="349" t="inlineStr">
        <is>
          <t>Due Date</t>
        </is>
      </c>
      <c r="AD27" s="14" t="n"/>
      <c r="AE27" s="14" t="n"/>
      <c r="AF27" s="14" t="n"/>
      <c r="AG27" s="14" t="n"/>
      <c r="AH27" s="14" t="n"/>
      <c r="AI27" s="14" t="n"/>
      <c r="AJ27" s="14" t="n"/>
      <c r="AK27" s="14" t="n"/>
      <c r="AL27" s="30" t="n"/>
      <c r="AM27" s="350" t="n"/>
      <c r="AN27" s="32" t="n"/>
      <c r="AO27" s="32" t="n"/>
      <c r="AP27" s="32" t="n"/>
      <c r="AQ27" s="32" t="n"/>
      <c r="AR27" s="32" t="n"/>
      <c r="AS27" s="32" t="n"/>
      <c r="AT27" s="32" t="n"/>
      <c r="AU27" s="32" t="n"/>
      <c r="AV27" s="32" t="n"/>
      <c r="AW27" s="32" t="n"/>
      <c r="AX27" s="32" t="n"/>
      <c r="AY27" s="32" t="n"/>
      <c r="AZ27" s="32" t="n"/>
      <c r="BA27" s="32" t="n"/>
      <c r="BB27" s="32" t="n"/>
      <c r="BC27" s="32" t="n"/>
      <c r="BD27" s="351" t="n"/>
    </row>
    <row r="28" ht="20" customHeight="1">
      <c r="A28" s="348" t="inlineStr">
        <is>
          <t>Evidence Ref</t>
        </is>
      </c>
      <c r="B28" s="14" t="n"/>
      <c r="C28" s="14" t="n"/>
      <c r="D28" s="14" t="n"/>
      <c r="E28" s="14" t="n"/>
      <c r="F28" s="14" t="n"/>
      <c r="G28" s="14" t="n"/>
      <c r="H28" s="14" t="n"/>
      <c r="I28" s="14" t="n"/>
      <c r="J28" s="30" t="n"/>
      <c r="K28" s="34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2" t="n"/>
      <c r="U28" s="32" t="n"/>
      <c r="V28" s="32" t="n"/>
      <c r="W28" s="32" t="n"/>
      <c r="X28" s="32" t="n"/>
      <c r="Y28" s="32" t="n"/>
      <c r="Z28" s="32" t="n"/>
      <c r="AA28" s="32" t="n"/>
      <c r="AB28" s="33" t="n"/>
      <c r="AC28" s="349" t="inlineStr">
        <is>
          <t>Comments</t>
        </is>
      </c>
      <c r="AD28" s="14" t="n"/>
      <c r="AE28" s="14" t="n"/>
      <c r="AF28" s="14" t="n"/>
      <c r="AG28" s="14" t="n"/>
      <c r="AH28" s="14" t="n"/>
      <c r="AI28" s="14" t="n"/>
      <c r="AJ28" s="14" t="n"/>
      <c r="AK28" s="14" t="n"/>
      <c r="AL28" s="30" t="n"/>
      <c r="AM28" s="350" t="n"/>
      <c r="AN28" s="32" t="n"/>
      <c r="AO28" s="32" t="n"/>
      <c r="AP28" s="32" t="n"/>
      <c r="AQ28" s="32" t="n"/>
      <c r="AR28" s="32" t="n"/>
      <c r="AS28" s="32" t="n"/>
      <c r="AT28" s="32" t="n"/>
      <c r="AU28" s="32" t="n"/>
      <c r="AV28" s="32" t="n"/>
      <c r="AW28" s="32" t="n"/>
      <c r="AX28" s="32" t="n"/>
      <c r="AY28" s="32" t="n"/>
      <c r="AZ28" s="32" t="n"/>
      <c r="BA28" s="32" t="n"/>
      <c r="BB28" s="32" t="n"/>
      <c r="BC28" s="32" t="n"/>
      <c r="BD28" s="351" t="n"/>
    </row>
    <row r="29" ht="26" customHeight="1">
      <c r="A29" s="367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30" t="n"/>
      <c r="S29" s="368" t="inlineStr">
        <is>
          <t>Reviewed By</t>
        </is>
      </c>
      <c r="T29" s="14" t="n"/>
      <c r="U29" s="14" t="n"/>
      <c r="V29" s="14" t="n"/>
      <c r="W29" s="14" t="n"/>
      <c r="X29" s="14" t="n"/>
      <c r="Y29" s="14" t="n"/>
      <c r="Z29" s="14" t="n"/>
      <c r="AA29" s="14" t="n"/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30" t="n"/>
      <c r="AK29" s="369" t="inlineStr">
        <is>
          <t>Approved By</t>
        </is>
      </c>
      <c r="AL29" s="14" t="n"/>
      <c r="AM29" s="14" t="n"/>
      <c r="AN29" s="14" t="n"/>
      <c r="AO29" s="14" t="n"/>
      <c r="AP29" s="14" t="n"/>
      <c r="AQ29" s="14" t="n"/>
      <c r="AR29" s="14" t="n"/>
      <c r="AS29" s="14" t="n"/>
      <c r="AT29" s="14" t="n"/>
      <c r="AU29" s="14" t="n"/>
      <c r="AV29" s="14" t="n"/>
      <c r="AW29" s="14" t="n"/>
      <c r="AX29" s="14" t="n"/>
      <c r="AY29" s="14" t="n"/>
      <c r="AZ29" s="14" t="n"/>
      <c r="BA29" s="14" t="n"/>
      <c r="BB29" s="14" t="n"/>
      <c r="BC29" s="14" t="n"/>
      <c r="BD29" s="49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0" t="n"/>
      <c r="N30" s="40" t="n"/>
      <c r="O30" s="40" t="n"/>
      <c r="P30" s="40" t="n"/>
      <c r="Q30" s="40" t="n"/>
      <c r="R30" s="41" t="n"/>
      <c r="S30" s="370" t="inlineStr">
        <is>
          <t>Name / Signature / Date</t>
        </is>
      </c>
      <c r="T30" s="40" t="n"/>
      <c r="U30" s="40" t="n"/>
      <c r="V30" s="40" t="n"/>
      <c r="W30" s="40" t="n"/>
      <c r="X30" s="40" t="n"/>
      <c r="Y30" s="40" t="n"/>
      <c r="Z30" s="40" t="n"/>
      <c r="AA30" s="40" t="n"/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1" t="n"/>
      <c r="AK30" s="371" t="inlineStr">
        <is>
          <t>Name / Signature / Date</t>
        </is>
      </c>
      <c r="AL30" s="40" t="n"/>
      <c r="AM30" s="40" t="n"/>
      <c r="AN30" s="40" t="n"/>
      <c r="AO30" s="40" t="n"/>
      <c r="AP30" s="40" t="n"/>
      <c r="AQ30" s="40" t="n"/>
      <c r="AR30" s="40" t="n"/>
      <c r="AS30" s="40" t="n"/>
      <c r="AT30" s="40" t="n"/>
      <c r="AU30" s="40" t="n"/>
      <c r="AV30" s="40" t="n"/>
      <c r="AW30" s="40" t="n"/>
      <c r="AX30" s="40" t="n"/>
      <c r="AY30" s="40" t="n"/>
      <c r="AZ30" s="40" t="n"/>
      <c r="BA30" s="40" t="n"/>
      <c r="BB30" s="40" t="n"/>
      <c r="BC30" s="40" t="n"/>
      <c r="BD30" s="372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0" t="n"/>
      <c r="N31" s="40" t="n"/>
      <c r="O31" s="40" t="n"/>
      <c r="P31" s="40" t="n"/>
      <c r="Q31" s="40" t="n"/>
      <c r="R31" s="41" t="n"/>
      <c r="S31" s="40" t="n"/>
      <c r="T31" s="40" t="n"/>
      <c r="U31" s="40" t="n"/>
      <c r="V31" s="40" t="n"/>
      <c r="W31" s="40" t="n"/>
      <c r="X31" s="40" t="n"/>
      <c r="Y31" s="40" t="n"/>
      <c r="Z31" s="40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1" t="n"/>
      <c r="AK31" s="40" t="n"/>
      <c r="AL31" s="40" t="n"/>
      <c r="AM31" s="40" t="n"/>
      <c r="AN31" s="40" t="n"/>
      <c r="AO31" s="40" t="n"/>
      <c r="AP31" s="40" t="n"/>
      <c r="AQ31" s="40" t="n"/>
      <c r="AR31" s="40" t="n"/>
      <c r="AS31" s="40" t="n"/>
      <c r="AT31" s="40" t="n"/>
      <c r="AU31" s="40" t="n"/>
      <c r="AV31" s="40" t="n"/>
      <c r="AW31" s="40" t="n"/>
      <c r="AX31" s="40" t="n"/>
      <c r="AY31" s="40" t="n"/>
      <c r="AZ31" s="40" t="n"/>
      <c r="BA31" s="40" t="n"/>
      <c r="BB31" s="40" t="n"/>
      <c r="BC31" s="40" t="n"/>
      <c r="BD31" s="372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3" t="n"/>
      <c r="S32" s="32" t="n"/>
      <c r="T32" s="32" t="n"/>
      <c r="U32" s="32" t="n"/>
      <c r="V32" s="32" t="n"/>
      <c r="W32" s="32" t="n"/>
      <c r="X32" s="32" t="n"/>
      <c r="Y32" s="32" t="n"/>
      <c r="Z32" s="32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3" t="n"/>
      <c r="AK32" s="32" t="n"/>
      <c r="AL32" s="32" t="n"/>
      <c r="AM32" s="32" t="n"/>
      <c r="AN32" s="32" t="n"/>
      <c r="AO32" s="32" t="n"/>
      <c r="AP32" s="32" t="n"/>
      <c r="AQ32" s="32" t="n"/>
      <c r="AR32" s="32" t="n"/>
      <c r="AS32" s="32" t="n"/>
      <c r="AT32" s="32" t="n"/>
      <c r="AU32" s="32" t="n"/>
      <c r="AV32" s="32" t="n"/>
      <c r="AW32" s="32" t="n"/>
      <c r="AX32" s="32" t="n"/>
      <c r="AY32" s="32" t="n"/>
      <c r="AZ32" s="32" t="n"/>
      <c r="BA32" s="32" t="n"/>
      <c r="BB32" s="32" t="n"/>
      <c r="BC32" s="32" t="n"/>
      <c r="BD32" s="351" t="n"/>
    </row>
    <row r="33" ht="26" customHeight="1">
      <c r="A33" s="393" t="inlineStr">
        <is>
          <t>NOTICE: Internal audits should consider process importance, changes affecting the organization and prior results. Record objective evidence, finding severity, owner, due date and verification reference.</t>
        </is>
      </c>
      <c r="B33" s="394" t="n"/>
      <c r="C33" s="394" t="n"/>
      <c r="D33" s="394" t="n"/>
      <c r="E33" s="394" t="n"/>
      <c r="F33" s="394" t="n"/>
      <c r="G33" s="394" t="n"/>
      <c r="H33" s="394" t="n"/>
      <c r="I33" s="394" t="n"/>
      <c r="J33" s="394" t="n"/>
      <c r="K33" s="394" t="n"/>
      <c r="L33" s="394" t="n"/>
      <c r="M33" s="394" t="n"/>
      <c r="N33" s="394" t="n"/>
      <c r="O33" s="394" t="n"/>
      <c r="P33" s="394" t="n"/>
      <c r="Q33" s="394" t="n"/>
      <c r="R33" s="394" t="n"/>
      <c r="S33" s="394" t="n"/>
      <c r="T33" s="394" t="n"/>
      <c r="U33" s="394" t="n"/>
      <c r="V33" s="394" t="n"/>
      <c r="W33" s="394" t="n"/>
      <c r="X33" s="394" t="n"/>
      <c r="Y33" s="394" t="n"/>
      <c r="Z33" s="394" t="n"/>
      <c r="AA33" s="394" t="n"/>
      <c r="AB33" s="394" t="n"/>
      <c r="AC33" s="394" t="n"/>
      <c r="AD33" s="394" t="n"/>
      <c r="AE33" s="394" t="n"/>
      <c r="AF33" s="394" t="n"/>
      <c r="AG33" s="394" t="n"/>
      <c r="AH33" s="394" t="n"/>
      <c r="AI33" s="394" t="n"/>
      <c r="AJ33" s="394" t="n"/>
      <c r="AK33" s="394" t="n"/>
      <c r="AL33" s="394" t="n"/>
      <c r="AM33" s="394" t="n"/>
      <c r="AN33" s="394" t="n"/>
      <c r="AO33" s="394" t="n"/>
      <c r="AP33" s="394" t="n"/>
      <c r="AQ33" s="394" t="n"/>
      <c r="AR33" s="394" t="n"/>
      <c r="AS33" s="394" t="n"/>
      <c r="AT33" s="394" t="n"/>
      <c r="AU33" s="394" t="n"/>
      <c r="AV33" s="394" t="n"/>
      <c r="AW33" s="394" t="n"/>
      <c r="AX33" s="394" t="n"/>
      <c r="AY33" s="394" t="n"/>
      <c r="AZ33" s="394" t="n"/>
      <c r="BA33" s="394" t="n"/>
      <c r="BB33" s="394" t="n"/>
      <c r="BC33" s="394" t="n"/>
      <c r="BD33" s="39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J17:T17"/>
    <mergeCell ref="A23:J23"/>
    <mergeCell ref="AO19:AT19"/>
    <mergeCell ref="AH20:AP20"/>
    <mergeCell ref="AQ20:AU20"/>
    <mergeCell ref="AW2:BD2"/>
    <mergeCell ref="J19:T19"/>
    <mergeCell ref="D16:I16"/>
    <mergeCell ref="O20:S20"/>
    <mergeCell ref="AQ5:AV5"/>
    <mergeCell ref="U17:AB17"/>
    <mergeCell ref="AU18:BD18"/>
    <mergeCell ref="D18:I18"/>
    <mergeCell ref="AW3:BD3"/>
    <mergeCell ref="AU17:BD17"/>
    <mergeCell ref="AQ4:AV4"/>
    <mergeCell ref="AW5:BD5"/>
    <mergeCell ref="AU19:BD19"/>
    <mergeCell ref="AI13:AN13"/>
    <mergeCell ref="AO13:AT13"/>
    <mergeCell ref="AM28:BD28"/>
    <mergeCell ref="A30:R32"/>
    <mergeCell ref="J18:T18"/>
    <mergeCell ref="L4:AP4"/>
    <mergeCell ref="AO15:AT15"/>
    <mergeCell ref="F20:N20"/>
    <mergeCell ref="AC22:AL22"/>
    <mergeCell ref="AO18:AT18"/>
    <mergeCell ref="L1:AP3"/>
    <mergeCell ref="AQ2:AV2"/>
    <mergeCell ref="AC19:AH19"/>
    <mergeCell ref="A14:C14"/>
    <mergeCell ref="A24:BD24"/>
    <mergeCell ref="K27:AB27"/>
    <mergeCell ref="U16:AB16"/>
    <mergeCell ref="AM10:BD10"/>
    <mergeCell ref="A1:K5"/>
    <mergeCell ref="A13:C13"/>
    <mergeCell ref="AC20:AG20"/>
    <mergeCell ref="AV20:BD20"/>
    <mergeCell ref="AM25:BD25"/>
    <mergeCell ref="A7:BD7"/>
    <mergeCell ref="AI14:AN14"/>
    <mergeCell ref="K28:AB28"/>
    <mergeCell ref="A15:C15"/>
    <mergeCell ref="A25:J25"/>
    <mergeCell ref="D19:I19"/>
    <mergeCell ref="AM8:BD8"/>
    <mergeCell ref="K25:AB25"/>
    <mergeCell ref="K9:AB9"/>
    <mergeCell ref="A33:BD33"/>
    <mergeCell ref="AC13:AH13"/>
    <mergeCell ref="U14:AB14"/>
    <mergeCell ref="L5:AP5"/>
    <mergeCell ref="AM22:BD22"/>
    <mergeCell ref="A16:C16"/>
    <mergeCell ref="AC25:AL25"/>
    <mergeCell ref="AI15:AN15"/>
    <mergeCell ref="K11:AB11"/>
    <mergeCell ref="AC15:AH15"/>
    <mergeCell ref="D13:I13"/>
    <mergeCell ref="A22:J22"/>
    <mergeCell ref="AC9:AL9"/>
    <mergeCell ref="AO14:AT14"/>
    <mergeCell ref="A18:C18"/>
    <mergeCell ref="U15:AB15"/>
    <mergeCell ref="A28:J28"/>
    <mergeCell ref="AC11:AL11"/>
    <mergeCell ref="AI16:AN16"/>
    <mergeCell ref="K8:AB8"/>
    <mergeCell ref="AW4:BD4"/>
    <mergeCell ref="AQ1:AV1"/>
    <mergeCell ref="K23:AB23"/>
    <mergeCell ref="AI18:AN18"/>
    <mergeCell ref="D15:I15"/>
    <mergeCell ref="J16:T16"/>
    <mergeCell ref="K10:AB10"/>
    <mergeCell ref="AW1:BD1"/>
    <mergeCell ref="AC17:AH17"/>
    <mergeCell ref="U18:AB18"/>
    <mergeCell ref="AM27:BD27"/>
    <mergeCell ref="AU15:BD15"/>
    <mergeCell ref="AO17:AT17"/>
    <mergeCell ref="A20:E20"/>
    <mergeCell ref="T20:AB20"/>
    <mergeCell ref="AC8:AL8"/>
    <mergeCell ref="A27:J27"/>
    <mergeCell ref="AC26:AL26"/>
    <mergeCell ref="U19:AB19"/>
    <mergeCell ref="AC10:AL10"/>
    <mergeCell ref="AQ3:AV3"/>
    <mergeCell ref="AU16:BD16"/>
    <mergeCell ref="A8:J8"/>
    <mergeCell ref="AC14:AH14"/>
    <mergeCell ref="D17:I17"/>
    <mergeCell ref="J14:T14"/>
    <mergeCell ref="K22:AB22"/>
    <mergeCell ref="AM9:BD9"/>
    <mergeCell ref="A10:J10"/>
    <mergeCell ref="J13:T13"/>
    <mergeCell ref="AC27:AL27"/>
    <mergeCell ref="A9:J9"/>
    <mergeCell ref="AM11:BD11"/>
    <mergeCell ref="A17:C17"/>
    <mergeCell ref="J15:T15"/>
    <mergeCell ref="A11:J11"/>
    <mergeCell ref="U13:AB13"/>
    <mergeCell ref="AU14:BD14"/>
    <mergeCell ref="A19:C19"/>
    <mergeCell ref="AC28:AL28"/>
    <mergeCell ref="D14:I14"/>
    <mergeCell ref="A29:R29"/>
    <mergeCell ref="S29:AJ29"/>
    <mergeCell ref="S30:AJ32"/>
    <mergeCell ref="AU13:BD13"/>
    <mergeCell ref="AK29:BD29"/>
    <mergeCell ref="AK30:BD32"/>
    <mergeCell ref="AI17:AN17"/>
    <mergeCell ref="AC16:AH16"/>
    <mergeCell ref="AM26:BD26"/>
    <mergeCell ref="A12:BD12"/>
    <mergeCell ref="A21:BD21"/>
    <mergeCell ref="AO16:AT16"/>
    <mergeCell ref="AC23:AL23"/>
    <mergeCell ref="AI19:AN19"/>
    <mergeCell ref="AM23:BD23"/>
    <mergeCell ref="AC18:AH18"/>
    <mergeCell ref="A26:J26"/>
    <mergeCell ref="K26:AB26"/>
  </mergeCells>
  <dataValidations count="7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26:AB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6:BD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C14:AC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K10:AB10 K23:AB23 AM27:BD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8:AL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INTERNAL AUDIT CHECKLIST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331" t="n"/>
      <c r="AW1" s="332" t="inlineStr">
        <is>
          <t>FRM-901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3" t="inlineStr">
        <is>
          <t>Revision</t>
        </is>
      </c>
      <c r="AR2" s="334" t="n"/>
      <c r="AS2" s="334" t="n"/>
      <c r="AT2" s="334" t="n"/>
      <c r="AU2" s="334" t="n"/>
      <c r="AV2" s="335" t="n"/>
      <c r="AW2" s="336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33" t="inlineStr">
        <is>
          <t>Eff. Date</t>
        </is>
      </c>
      <c r="AR3" s="334" t="n"/>
      <c r="AS3" s="334" t="n"/>
      <c r="AT3" s="334" t="n"/>
      <c r="AU3" s="334" t="n"/>
      <c r="AV3" s="335" t="n"/>
      <c r="AW3" s="336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3" t="inlineStr">
        <is>
          <t>Owner</t>
        </is>
      </c>
      <c r="AR4" s="334" t="n"/>
      <c r="AS4" s="334" t="n"/>
      <c r="AT4" s="334" t="n"/>
      <c r="AU4" s="334" t="n"/>
      <c r="AV4" s="335" t="n"/>
      <c r="AW4" s="336" t="inlineStr">
        <is>
          <t>QMS + Top Management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8" t="inlineStr">
        <is>
          <t>Approved</t>
        </is>
      </c>
      <c r="AR5" s="339" t="n"/>
      <c r="AS5" s="339" t="n"/>
      <c r="AT5" s="339" t="n"/>
      <c r="AU5" s="339" t="n"/>
      <c r="AV5" s="340" t="n"/>
      <c r="AW5" s="341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3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SOP-901 | ANNEX: ANNEX-QMS-003, ANNEX-QMS-008, ANNEX-QMS-020, ANNEX-QMS-025,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8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75" t="inlineStr">
        <is>
          <t>Detailed finding / action sheet linked from the primary gate page.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76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77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52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66" t="inlineStr">
        <is>
          <t>Full internal audit evidence only; not a substitute for LPA or management review.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378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379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43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Finding ID</t>
        </is>
      </c>
      <c r="B12" s="6" t="n"/>
      <c r="C12" s="6" t="n"/>
      <c r="D12" s="6" t="n"/>
      <c r="E12" s="7" t="n"/>
      <c r="F12" s="359" t="inlineStr">
        <is>
          <t>Area or Clause</t>
        </is>
      </c>
      <c r="G12" s="6" t="n"/>
      <c r="H12" s="6" t="n"/>
      <c r="I12" s="6" t="n"/>
      <c r="J12" s="7" t="n"/>
      <c r="K12" s="359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359" t="inlineStr">
        <is>
          <t>Severity</t>
        </is>
      </c>
      <c r="T12" s="6" t="n"/>
      <c r="U12" s="6" t="n"/>
      <c r="V12" s="6" t="n"/>
      <c r="W12" s="6" t="n"/>
      <c r="X12" s="7" t="n"/>
      <c r="Y12" s="359" t="inlineStr">
        <is>
          <t>Containment Need</t>
        </is>
      </c>
      <c r="Z12" s="6" t="n"/>
      <c r="AA12" s="6" t="n"/>
      <c r="AB12" s="6" t="n"/>
      <c r="AC12" s="6" t="n"/>
      <c r="AD12" s="7" t="n"/>
      <c r="AE12" s="359" t="inlineStr">
        <is>
          <t>Owner</t>
        </is>
      </c>
      <c r="AF12" s="6" t="n"/>
      <c r="AG12" s="6" t="n"/>
      <c r="AH12" s="6" t="n"/>
      <c r="AI12" s="6" t="n"/>
      <c r="AJ12" s="7" t="n"/>
      <c r="AK12" s="359" t="inlineStr">
        <is>
          <t>Due Date</t>
        </is>
      </c>
      <c r="AL12" s="6" t="n"/>
      <c r="AM12" s="6" t="n"/>
      <c r="AN12" s="6" t="n"/>
      <c r="AO12" s="6" t="n"/>
      <c r="AP12" s="7" t="n"/>
      <c r="AQ12" s="359" t="inlineStr">
        <is>
          <t>Status</t>
        </is>
      </c>
      <c r="AR12" s="6" t="n"/>
      <c r="AS12" s="6" t="n"/>
      <c r="AT12" s="6" t="n"/>
      <c r="AU12" s="6" t="n"/>
      <c r="AV12" s="7" t="n"/>
      <c r="AW12" s="360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380" t="n"/>
      <c r="B13" s="26" t="n"/>
      <c r="C13" s="26" t="n"/>
      <c r="D13" s="26" t="n"/>
      <c r="E13" s="27" t="n"/>
      <c r="F13" s="25" t="n"/>
      <c r="G13" s="26" t="n"/>
      <c r="H13" s="26" t="n"/>
      <c r="I13" s="26" t="n"/>
      <c r="J13" s="27" t="n"/>
      <c r="K13" s="25" t="n"/>
      <c r="L13" s="26" t="n"/>
      <c r="M13" s="26" t="n"/>
      <c r="N13" s="26" t="n"/>
      <c r="O13" s="26" t="n"/>
      <c r="P13" s="26" t="n"/>
      <c r="Q13" s="26" t="n"/>
      <c r="R13" s="27" t="n"/>
      <c r="S13" s="363" t="n"/>
      <c r="T13" s="26" t="n"/>
      <c r="U13" s="26" t="n"/>
      <c r="V13" s="26" t="n"/>
      <c r="W13" s="26" t="n"/>
      <c r="X13" s="27" t="n"/>
      <c r="Y13" s="25" t="n"/>
      <c r="Z13" s="26" t="n"/>
      <c r="AA13" s="26" t="n"/>
      <c r="AB13" s="26" t="n"/>
      <c r="AC13" s="26" t="n"/>
      <c r="AD13" s="27" t="n"/>
      <c r="AE13" s="363" t="n"/>
      <c r="AF13" s="26" t="n"/>
      <c r="AG13" s="26" t="n"/>
      <c r="AH13" s="26" t="n"/>
      <c r="AI13" s="26" t="n"/>
      <c r="AJ13" s="27" t="n"/>
      <c r="AK13" s="363" t="n"/>
      <c r="AL13" s="26" t="n"/>
      <c r="AM13" s="26" t="n"/>
      <c r="AN13" s="26" t="n"/>
      <c r="AO13" s="26" t="n"/>
      <c r="AP13" s="27" t="n"/>
      <c r="AQ13" s="363" t="n"/>
      <c r="AR13" s="26" t="n"/>
      <c r="AS13" s="26" t="n"/>
      <c r="AT13" s="26" t="n"/>
      <c r="AU13" s="26" t="n"/>
      <c r="AV13" s="27" t="n"/>
      <c r="AW13" s="346" t="n"/>
      <c r="AX13" s="26" t="n"/>
      <c r="AY13" s="26" t="n"/>
      <c r="AZ13" s="26" t="n"/>
      <c r="BA13" s="26" t="n"/>
      <c r="BB13" s="26" t="n"/>
      <c r="BC13" s="26" t="n"/>
      <c r="BD13" s="347" t="n"/>
    </row>
    <row r="14" ht="20" customHeight="1">
      <c r="A14" s="381" t="n"/>
      <c r="B14" s="32" t="n"/>
      <c r="C14" s="32" t="n"/>
      <c r="D14" s="32" t="n"/>
      <c r="E14" s="33" t="n"/>
      <c r="F14" s="36" t="n"/>
      <c r="G14" s="32" t="n"/>
      <c r="H14" s="32" t="n"/>
      <c r="I14" s="32" t="n"/>
      <c r="J14" s="33" t="n"/>
      <c r="K14" s="36" t="n"/>
      <c r="L14" s="32" t="n"/>
      <c r="M14" s="32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6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5" t="n"/>
      <c r="AR14" s="32" t="n"/>
      <c r="AS14" s="32" t="n"/>
      <c r="AT14" s="32" t="n"/>
      <c r="AU14" s="32" t="n"/>
      <c r="AV14" s="33" t="n"/>
      <c r="AW14" s="365" t="n"/>
      <c r="AX14" s="32" t="n"/>
      <c r="AY14" s="32" t="n"/>
      <c r="AZ14" s="32" t="n"/>
      <c r="BA14" s="32" t="n"/>
      <c r="BB14" s="32" t="n"/>
      <c r="BC14" s="32" t="n"/>
      <c r="BD14" s="351" t="n"/>
    </row>
    <row r="15" ht="20" customHeight="1">
      <c r="A15" s="381" t="n"/>
      <c r="B15" s="32" t="n"/>
      <c r="C15" s="32" t="n"/>
      <c r="D15" s="32" t="n"/>
      <c r="E15" s="33" t="n"/>
      <c r="F15" s="34" t="n"/>
      <c r="G15" s="32" t="n"/>
      <c r="H15" s="32" t="n"/>
      <c r="I15" s="32" t="n"/>
      <c r="J15" s="33" t="n"/>
      <c r="K15" s="34" t="n"/>
      <c r="L15" s="32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2" t="n"/>
      <c r="AD15" s="33" t="n"/>
      <c r="AE15" s="35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2" t="n"/>
      <c r="AV15" s="33" t="n"/>
      <c r="AW15" s="350" t="n"/>
      <c r="AX15" s="32" t="n"/>
      <c r="AY15" s="32" t="n"/>
      <c r="AZ15" s="32" t="n"/>
      <c r="BA15" s="32" t="n"/>
      <c r="BB15" s="32" t="n"/>
      <c r="BC15" s="32" t="n"/>
      <c r="BD15" s="351" t="n"/>
    </row>
    <row r="16" ht="20" customHeight="1">
      <c r="A16" s="381" t="n"/>
      <c r="B16" s="32" t="n"/>
      <c r="C16" s="32" t="n"/>
      <c r="D16" s="32" t="n"/>
      <c r="E16" s="33" t="n"/>
      <c r="F16" s="36" t="n"/>
      <c r="G16" s="32" t="n"/>
      <c r="H16" s="32" t="n"/>
      <c r="I16" s="32" t="n"/>
      <c r="J16" s="33" t="n"/>
      <c r="K16" s="36" t="n"/>
      <c r="L16" s="32" t="n"/>
      <c r="M16" s="32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6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5" t="n"/>
      <c r="AR16" s="32" t="n"/>
      <c r="AS16" s="32" t="n"/>
      <c r="AT16" s="32" t="n"/>
      <c r="AU16" s="32" t="n"/>
      <c r="AV16" s="33" t="n"/>
      <c r="AW16" s="365" t="n"/>
      <c r="AX16" s="32" t="n"/>
      <c r="AY16" s="32" t="n"/>
      <c r="AZ16" s="32" t="n"/>
      <c r="BA16" s="32" t="n"/>
      <c r="BB16" s="32" t="n"/>
      <c r="BC16" s="32" t="n"/>
      <c r="BD16" s="351" t="n"/>
    </row>
    <row r="17" ht="20" customHeight="1">
      <c r="A17" s="381" t="n"/>
      <c r="B17" s="32" t="n"/>
      <c r="C17" s="32" t="n"/>
      <c r="D17" s="32" t="n"/>
      <c r="E17" s="33" t="n"/>
      <c r="F17" s="34" t="n"/>
      <c r="G17" s="32" t="n"/>
      <c r="H17" s="32" t="n"/>
      <c r="I17" s="32" t="n"/>
      <c r="J17" s="33" t="n"/>
      <c r="K17" s="34" t="n"/>
      <c r="L17" s="32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2" t="n"/>
      <c r="AD17" s="33" t="n"/>
      <c r="AE17" s="35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2" t="n"/>
      <c r="AV17" s="33" t="n"/>
      <c r="AW17" s="350" t="n"/>
      <c r="AX17" s="32" t="n"/>
      <c r="AY17" s="32" t="n"/>
      <c r="AZ17" s="32" t="n"/>
      <c r="BA17" s="32" t="n"/>
      <c r="BB17" s="32" t="n"/>
      <c r="BC17" s="32" t="n"/>
      <c r="BD17" s="351" t="n"/>
    </row>
    <row r="18" ht="20" customHeight="1">
      <c r="A18" s="382" t="n"/>
      <c r="B18" s="354" t="n"/>
      <c r="C18" s="354" t="n"/>
      <c r="D18" s="354" t="n"/>
      <c r="E18" s="355" t="n"/>
      <c r="F18" s="383" t="n"/>
      <c r="G18" s="354" t="n"/>
      <c r="H18" s="354" t="n"/>
      <c r="I18" s="354" t="n"/>
      <c r="J18" s="355" t="n"/>
      <c r="K18" s="383" t="n"/>
      <c r="L18" s="354" t="n"/>
      <c r="M18" s="354" t="n"/>
      <c r="N18" s="354" t="n"/>
      <c r="O18" s="354" t="n"/>
      <c r="P18" s="354" t="n"/>
      <c r="Q18" s="354" t="n"/>
      <c r="R18" s="355" t="n"/>
      <c r="S18" s="384" t="n"/>
      <c r="T18" s="354" t="n"/>
      <c r="U18" s="354" t="n"/>
      <c r="V18" s="354" t="n"/>
      <c r="W18" s="354" t="n"/>
      <c r="X18" s="355" t="n"/>
      <c r="Y18" s="383" t="n"/>
      <c r="Z18" s="354" t="n"/>
      <c r="AA18" s="354" t="n"/>
      <c r="AB18" s="354" t="n"/>
      <c r="AC18" s="354" t="n"/>
      <c r="AD18" s="355" t="n"/>
      <c r="AE18" s="384" t="n"/>
      <c r="AF18" s="354" t="n"/>
      <c r="AG18" s="354" t="n"/>
      <c r="AH18" s="354" t="n"/>
      <c r="AI18" s="354" t="n"/>
      <c r="AJ18" s="355" t="n"/>
      <c r="AK18" s="384" t="n"/>
      <c r="AL18" s="354" t="n"/>
      <c r="AM18" s="354" t="n"/>
      <c r="AN18" s="354" t="n"/>
      <c r="AO18" s="354" t="n"/>
      <c r="AP18" s="355" t="n"/>
      <c r="AQ18" s="384" t="n"/>
      <c r="AR18" s="354" t="n"/>
      <c r="AS18" s="354" t="n"/>
      <c r="AT18" s="354" t="n"/>
      <c r="AU18" s="354" t="n"/>
      <c r="AV18" s="355" t="n"/>
      <c r="AW18" s="385" t="n"/>
      <c r="AX18" s="354" t="n"/>
      <c r="AY18" s="354" t="n"/>
      <c r="AZ18" s="354" t="n"/>
      <c r="BA18" s="354" t="n"/>
      <c r="BB18" s="354" t="n"/>
      <c r="BC18" s="354" t="n"/>
      <c r="BD18" s="358" t="n"/>
    </row>
    <row r="19" ht="26" customHeight="1">
      <c r="A19" s="393" t="inlineStr">
        <is>
          <t>NOTICE: Use one row per finding. Record objective evidence, severity, owner, due date and verification reference; avoid vague or conclusion-only wording.</t>
        </is>
      </c>
      <c r="B19" s="394" t="n"/>
      <c r="C19" s="394" t="n"/>
      <c r="D19" s="394" t="n"/>
      <c r="E19" s="394" t="n"/>
      <c r="F19" s="394" t="n"/>
      <c r="G19" s="394" t="n"/>
      <c r="H19" s="394" t="n"/>
      <c r="I19" s="394" t="n"/>
      <c r="J19" s="394" t="n"/>
      <c r="K19" s="394" t="n"/>
      <c r="L19" s="394" t="n"/>
      <c r="M19" s="394" t="n"/>
      <c r="N19" s="394" t="n"/>
      <c r="O19" s="394" t="n"/>
      <c r="P19" s="394" t="n"/>
      <c r="Q19" s="394" t="n"/>
      <c r="R19" s="394" t="n"/>
      <c r="S19" s="394" t="n"/>
      <c r="T19" s="394" t="n"/>
      <c r="U19" s="394" t="n"/>
      <c r="V19" s="394" t="n"/>
      <c r="W19" s="394" t="n"/>
      <c r="X19" s="394" t="n"/>
      <c r="Y19" s="394" t="n"/>
      <c r="Z19" s="394" t="n"/>
      <c r="AA19" s="394" t="n"/>
      <c r="AB19" s="394" t="n"/>
      <c r="AC19" s="394" t="n"/>
      <c r="AD19" s="394" t="n"/>
      <c r="AE19" s="394" t="n"/>
      <c r="AF19" s="394" t="n"/>
      <c r="AG19" s="394" t="n"/>
      <c r="AH19" s="394" t="n"/>
      <c r="AI19" s="394" t="n"/>
      <c r="AJ19" s="394" t="n"/>
      <c r="AK19" s="394" t="n"/>
      <c r="AL19" s="394" t="n"/>
      <c r="AM19" s="394" t="n"/>
      <c r="AN19" s="394" t="n"/>
      <c r="AO19" s="394" t="n"/>
      <c r="AP19" s="394" t="n"/>
      <c r="AQ19" s="394" t="n"/>
      <c r="AR19" s="394" t="n"/>
      <c r="AS19" s="394" t="n"/>
      <c r="AT19" s="394" t="n"/>
      <c r="AU19" s="394" t="n"/>
      <c r="AV19" s="394" t="n"/>
      <c r="AW19" s="394" t="n"/>
      <c r="AX19" s="394" t="n"/>
      <c r="AY19" s="394" t="n"/>
      <c r="AZ19" s="394" t="n"/>
      <c r="BA19" s="394" t="n"/>
      <c r="BB19" s="394" t="n"/>
      <c r="BC19" s="394" t="n"/>
      <c r="BD19" s="39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2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9" t="inlineStr">
        <is>
          <t>INTERNAL AUDIT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87" t="inlineStr">
        <is>
          <t>Form Code</t>
        </is>
      </c>
      <c r="AR1" s="2" t="n"/>
      <c r="AS1" s="2" t="n"/>
      <c r="AT1" s="2" t="n"/>
      <c r="AU1" s="2" t="n"/>
      <c r="AV1" s="331" t="n"/>
      <c r="AW1" s="388" t="inlineStr">
        <is>
          <t>FRM-901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9" t="inlineStr">
        <is>
          <t>Revision</t>
        </is>
      </c>
      <c r="AR2" s="334" t="n"/>
      <c r="AS2" s="334" t="n"/>
      <c r="AT2" s="334" t="n"/>
      <c r="AU2" s="334" t="n"/>
      <c r="AV2" s="335" t="n"/>
      <c r="AW2" s="390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89" t="inlineStr">
        <is>
          <t>Eff. Date</t>
        </is>
      </c>
      <c r="AR3" s="334" t="n"/>
      <c r="AS3" s="334" t="n"/>
      <c r="AT3" s="334" t="n"/>
      <c r="AU3" s="334" t="n"/>
      <c r="AV3" s="335" t="n"/>
      <c r="AW3" s="390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50" t="inlineStr">
        <is>
          <t>Quality Management System · Controlled Document</t>
        </is>
      </c>
      <c r="AQ4" s="389" t="inlineStr">
        <is>
          <t>Owner</t>
        </is>
      </c>
      <c r="AR4" s="334" t="n"/>
      <c r="AS4" s="334" t="n"/>
      <c r="AT4" s="334" t="n"/>
      <c r="AU4" s="334" t="n"/>
      <c r="AV4" s="335" t="n"/>
      <c r="AW4" s="390" t="inlineStr">
        <is>
          <t>QMS + Top Management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91" t="inlineStr">
        <is>
          <t>Approved</t>
        </is>
      </c>
      <c r="AR5" s="339" t="n"/>
      <c r="AS5" s="339" t="n"/>
      <c r="AT5" s="339" t="n"/>
      <c r="AU5" s="339" t="n"/>
      <c r="AV5" s="340" t="n"/>
      <c r="AW5" s="392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4" customHeight="1">
      <c r="A6" s="31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80" t="inlineStr">
        <is>
          <t>ACCESS_ACTION_TYPE</t>
        </is>
      </c>
      <c r="B9" s="281" t="inlineStr">
        <is>
          <t>ATTENDANCE_STATUS</t>
        </is>
      </c>
      <c r="C9" s="281" t="inlineStr">
        <is>
          <t>AUDIENCE_CLASS</t>
        </is>
      </c>
      <c r="D9" s="281" t="inlineStr">
        <is>
          <t>AUDIT_FINDING_SEVERITY</t>
        </is>
      </c>
      <c r="E9" s="281" t="inlineStr">
        <is>
          <t>AUTHORITY_ROLE</t>
        </is>
      </c>
      <c r="F9" s="281" t="inlineStr">
        <is>
          <t>AUTHORIZATION_STATUS</t>
        </is>
      </c>
      <c r="G9" s="281" t="inlineStr">
        <is>
          <t>BACKUP_FLAG</t>
        </is>
      </c>
      <c r="H9" s="281" t="inlineStr">
        <is>
          <t>CHANGE_PRIORITY</t>
        </is>
      </c>
      <c r="I9" s="281" t="inlineStr">
        <is>
          <t>CHANGE_TYPE</t>
        </is>
      </c>
      <c r="J9" s="281" t="inlineStr">
        <is>
          <t>COMMERCIAL_REFERENCE</t>
        </is>
      </c>
      <c r="K9" s="281" t="inlineStr">
        <is>
          <t>COMM_CHANNEL</t>
        </is>
      </c>
      <c r="L9" s="281" t="inlineStr">
        <is>
          <t>COMPETENCY_LEVEL</t>
        </is>
      </c>
      <c r="M9" s="281" t="inlineStr">
        <is>
          <t>CONTEXT_CLASS</t>
        </is>
      </c>
      <c r="N9" s="281" t="inlineStr">
        <is>
          <t>CONTROL_METHOD</t>
        </is>
      </c>
      <c r="O9" s="281" t="inlineStr">
        <is>
          <t>DECISION</t>
        </is>
      </c>
      <c r="P9" s="281" t="inlineStr">
        <is>
          <t>DEPT</t>
        </is>
      </c>
      <c r="Q9" s="281" t="inlineStr">
        <is>
          <t>DOC_STATUS</t>
        </is>
      </c>
      <c r="R9" s="281" t="inlineStr">
        <is>
          <t>DOC_TYPE</t>
        </is>
      </c>
      <c r="S9" s="281" t="inlineStr">
        <is>
          <t>FMEA_RANK</t>
        </is>
      </c>
      <c r="T9" s="281" t="inlineStr">
        <is>
          <t>GATE</t>
        </is>
      </c>
      <c r="U9" s="281" t="inlineStr">
        <is>
          <t>IMPACT_LEVEL</t>
        </is>
      </c>
      <c r="V9" s="281" t="inlineStr">
        <is>
          <t>IMPACT_SCOPE</t>
        </is>
      </c>
      <c r="W9" s="281" t="inlineStr">
        <is>
          <t>KPI_OWNER_SET</t>
        </is>
      </c>
      <c r="X9" s="281" t="inlineStr">
        <is>
          <t>LESSON_CLASS</t>
        </is>
      </c>
      <c r="Y9" s="281" t="inlineStr">
        <is>
          <t>REACTION_CLASS</t>
        </is>
      </c>
      <c r="Z9" s="281" t="inlineStr">
        <is>
          <t>RECOVERY_STATUS</t>
        </is>
      </c>
      <c r="AA9" s="281" t="inlineStr">
        <is>
          <t>RESULT</t>
        </is>
      </c>
      <c r="AB9" s="281" t="inlineStr">
        <is>
          <t>RISK</t>
        </is>
      </c>
      <c r="AC9" s="281" t="inlineStr">
        <is>
          <t>RISK_CATEGORY</t>
        </is>
      </c>
      <c r="AD9" s="281" t="inlineStr">
        <is>
          <t>ROLE_ACCESS_PROFILE</t>
        </is>
      </c>
      <c r="AE9" s="281" t="inlineStr">
        <is>
          <t>SAMPLE_FREQUENCY</t>
        </is>
      </c>
      <c r="AF9" s="281" t="inlineStr">
        <is>
          <t>STATUS</t>
        </is>
      </c>
      <c r="AG9" s="281" t="inlineStr">
        <is>
          <t>YES_NO</t>
        </is>
      </c>
      <c r="AH9" s="319" t="n"/>
      <c r="AI9" s="319" t="n"/>
      <c r="AJ9" s="319" t="n"/>
      <c r="AK9" s="319" t="n"/>
      <c r="AL9" s="319" t="n"/>
      <c r="AM9" s="319" t="n"/>
      <c r="AN9" s="319" t="n"/>
      <c r="AO9" s="319" t="n"/>
      <c r="AP9" s="319" t="n"/>
      <c r="AQ9" s="319" t="n"/>
      <c r="AR9" s="319" t="n"/>
      <c r="AS9" s="319" t="n"/>
      <c r="AT9" s="319" t="n"/>
      <c r="AU9" s="319" t="n"/>
      <c r="AV9" s="319" t="n"/>
      <c r="AW9" s="319" t="n"/>
      <c r="AX9" s="319" t="n"/>
      <c r="AY9" s="319" t="n"/>
      <c r="AZ9" s="319" t="n"/>
      <c r="BA9" s="319" t="n"/>
      <c r="BB9" s="319" t="n"/>
      <c r="BC9" s="319" t="n"/>
      <c r="BD9" s="320" t="n"/>
    </row>
    <row r="10" ht="20" customHeight="1">
      <c r="A10" s="321" t="inlineStr">
        <is>
          <t>CREATE</t>
        </is>
      </c>
      <c r="B10" s="298" t="inlineStr">
        <is>
          <t>PRESENT</t>
        </is>
      </c>
      <c r="C10" s="298" t="inlineStr">
        <is>
          <t>ALL HANDS</t>
        </is>
      </c>
      <c r="D10" s="298" t="inlineStr">
        <is>
          <t>MINOR</t>
        </is>
      </c>
      <c r="E10" s="298" t="inlineStr">
        <is>
          <t>REQUESTER</t>
        </is>
      </c>
      <c r="F10" s="298" t="inlineStr">
        <is>
          <t>NOT AUTHORIZED</t>
        </is>
      </c>
      <c r="G10" s="298" t="inlineStr">
        <is>
          <t>YES</t>
        </is>
      </c>
      <c r="H10" s="298" t="inlineStr">
        <is>
          <t>LOW</t>
        </is>
      </c>
      <c r="I10" s="298" t="inlineStr">
        <is>
          <t>DOCUMENT</t>
        </is>
      </c>
      <c r="J10" s="298" t="inlineStr">
        <is>
          <t>PO</t>
        </is>
      </c>
      <c r="K10" s="298" t="inlineStr">
        <is>
          <t>EMAIL</t>
        </is>
      </c>
      <c r="L10" s="298" t="inlineStr">
        <is>
          <t>NOT TRAINED</t>
        </is>
      </c>
      <c r="M10" s="298" t="inlineStr">
        <is>
          <t>SWOT</t>
        </is>
      </c>
      <c r="N10" s="298" t="inlineStr">
        <is>
          <t>VISUAL</t>
        </is>
      </c>
      <c r="O10" s="298" t="inlineStr">
        <is>
          <t>APPROVED</t>
        </is>
      </c>
      <c r="P10" s="298" t="inlineStr">
        <is>
          <t>SALES</t>
        </is>
      </c>
      <c r="Q10" s="298" t="inlineStr">
        <is>
          <t>DRAFT</t>
        </is>
      </c>
      <c r="R10" s="298" t="inlineStr">
        <is>
          <t>SOP</t>
        </is>
      </c>
      <c r="S10" s="298" t="inlineStr">
        <is>
          <t>1</t>
        </is>
      </c>
      <c r="T10" s="298" t="inlineStr">
        <is>
          <t>CONTRACT REVIEW</t>
        </is>
      </c>
      <c r="U10" s="298" t="inlineStr">
        <is>
          <t>NONE</t>
        </is>
      </c>
      <c r="V10" s="298" t="inlineStr">
        <is>
          <t>QUALITY</t>
        </is>
      </c>
      <c r="W10" s="298" t="inlineStr">
        <is>
          <t>KPI-QUALITY</t>
        </is>
      </c>
      <c r="X10" s="298" t="inlineStr">
        <is>
          <t>PREVENTION</t>
        </is>
      </c>
      <c r="Y10" s="298" t="inlineStr">
        <is>
          <t>STOP</t>
        </is>
      </c>
      <c r="Z10" s="298" t="inlineStr">
        <is>
          <t>CONTAINED</t>
        </is>
      </c>
      <c r="AA10" s="298" t="inlineStr">
        <is>
          <t>PASS</t>
        </is>
      </c>
      <c r="AB10" s="298" t="inlineStr">
        <is>
          <t>LOW</t>
        </is>
      </c>
      <c r="AC10" s="298" t="inlineStr">
        <is>
          <t>QUALITY</t>
        </is>
      </c>
      <c r="AD10" s="298" t="inlineStr">
        <is>
          <t>VIEWER</t>
        </is>
      </c>
      <c r="AE10" s="298" t="inlineStr">
        <is>
          <t>EACH LOT</t>
        </is>
      </c>
      <c r="AF10" s="298" t="inlineStr">
        <is>
          <t>OPEN</t>
        </is>
      </c>
      <c r="AG10" s="298" t="inlineStr">
        <is>
          <t>YES</t>
        </is>
      </c>
      <c r="AH10" s="319" t="n"/>
      <c r="AI10" s="319" t="n"/>
      <c r="AJ10" s="319" t="n"/>
      <c r="AK10" s="319" t="n"/>
      <c r="AL10" s="319" t="n"/>
      <c r="AM10" s="319" t="n"/>
      <c r="AN10" s="319" t="n"/>
      <c r="AO10" s="319" t="n"/>
      <c r="AP10" s="319" t="n"/>
      <c r="AQ10" s="319" t="n"/>
      <c r="AR10" s="319" t="n"/>
      <c r="AS10" s="319" t="n"/>
      <c r="AT10" s="319" t="n"/>
      <c r="AU10" s="319" t="n"/>
      <c r="AV10" s="319" t="n"/>
      <c r="AW10" s="319" t="n"/>
      <c r="AX10" s="319" t="n"/>
      <c r="AY10" s="319" t="n"/>
      <c r="AZ10" s="319" t="n"/>
      <c r="BA10" s="319" t="n"/>
      <c r="BB10" s="319" t="n"/>
      <c r="BC10" s="319" t="n"/>
      <c r="BD10" s="320" t="n"/>
    </row>
    <row r="11" ht="20" customHeight="1">
      <c r="A11" s="322" t="inlineStr">
        <is>
          <t>CHANGE</t>
        </is>
      </c>
      <c r="B11" s="300" t="inlineStr">
        <is>
          <t>LATE</t>
        </is>
      </c>
      <c r="C11" s="300" t="inlineStr">
        <is>
          <t>FUNCTION</t>
        </is>
      </c>
      <c r="D11" s="300" t="inlineStr">
        <is>
          <t>MAJOR</t>
        </is>
      </c>
      <c r="E11" s="300" t="inlineStr">
        <is>
          <t>OWNER</t>
        </is>
      </c>
      <c r="F11" s="300" t="inlineStr">
        <is>
          <t>AUTHORIZED</t>
        </is>
      </c>
      <c r="G11" s="300" t="inlineStr">
        <is>
          <t>NO</t>
        </is>
      </c>
      <c r="H11" s="300" t="inlineStr">
        <is>
          <t>MEDIUM</t>
        </is>
      </c>
      <c r="I11" s="300" t="inlineStr">
        <is>
          <t>PROCESS</t>
        </is>
      </c>
      <c r="J11" s="300" t="inlineStr">
        <is>
          <t>SO</t>
        </is>
      </c>
      <c r="K11" s="300" t="inlineStr">
        <is>
          <t>MEETING</t>
        </is>
      </c>
      <c r="L11" s="300" t="inlineStr">
        <is>
          <t>OBSERVED</t>
        </is>
      </c>
      <c r="M11" s="300" t="inlineStr">
        <is>
          <t>PESTLE</t>
        </is>
      </c>
      <c r="N11" s="300" t="inlineStr">
        <is>
          <t>DIMENSIONAL</t>
        </is>
      </c>
      <c r="O11" s="300" t="inlineStr">
        <is>
          <t>REJECTED</t>
        </is>
      </c>
      <c r="P11" s="300" t="inlineStr">
        <is>
          <t>ENG</t>
        </is>
      </c>
      <c r="Q11" s="300" t="inlineStr">
        <is>
          <t>EFFECTIVE</t>
        </is>
      </c>
      <c r="R11" s="300" t="inlineStr">
        <is>
          <t>WI</t>
        </is>
      </c>
      <c r="S11" s="300" t="inlineStr">
        <is>
          <t>2</t>
        </is>
      </c>
      <c r="T11" s="300" t="inlineStr">
        <is>
          <t>FIRST ARTICLE</t>
        </is>
      </c>
      <c r="U11" s="300" t="inlineStr">
        <is>
          <t>LOW</t>
        </is>
      </c>
      <c r="V11" s="300" t="inlineStr">
        <is>
          <t>DELIVERY</t>
        </is>
      </c>
      <c r="W11" s="300" t="inlineStr">
        <is>
          <t>KPI-DELIVERY</t>
        </is>
      </c>
      <c r="X11" s="300" t="inlineStr">
        <is>
          <t>DETECTION</t>
        </is>
      </c>
      <c r="Y11" s="300" t="inlineStr">
        <is>
          <t>SEGREGATE</t>
        </is>
      </c>
      <c r="Z11" s="300" t="inlineStr">
        <is>
          <t>RECOVERING</t>
        </is>
      </c>
      <c r="AA11" s="300" t="inlineStr">
        <is>
          <t>HOLD</t>
        </is>
      </c>
      <c r="AB11" s="300" t="inlineStr">
        <is>
          <t>MEDIUM</t>
        </is>
      </c>
      <c r="AC11" s="300" t="inlineStr">
        <is>
          <t>DELIVERY</t>
        </is>
      </c>
      <c r="AD11" s="300" t="inlineStr">
        <is>
          <t>CONTRIBUTOR</t>
        </is>
      </c>
      <c r="AE11" s="300" t="inlineStr">
        <is>
          <t>FIRST OFF</t>
        </is>
      </c>
      <c r="AF11" s="300" t="inlineStr">
        <is>
          <t>IN PROGRESS</t>
        </is>
      </c>
      <c r="AG11" s="300" t="inlineStr">
        <is>
          <t>NO</t>
        </is>
      </c>
      <c r="AH11" s="323" t="n"/>
      <c r="AI11" s="323" t="n"/>
      <c r="AJ11" s="323" t="n"/>
      <c r="AK11" s="323" t="n"/>
      <c r="AL11" s="323" t="n"/>
      <c r="AM11" s="323" t="n"/>
      <c r="AN11" s="323" t="n"/>
      <c r="AO11" s="323" t="n"/>
      <c r="AP11" s="323" t="n"/>
      <c r="AQ11" s="323" t="n"/>
      <c r="AR11" s="323" t="n"/>
      <c r="AS11" s="323" t="n"/>
      <c r="AT11" s="323" t="n"/>
      <c r="AU11" s="323" t="n"/>
      <c r="AV11" s="323" t="n"/>
      <c r="AW11" s="323" t="n"/>
      <c r="AX11" s="323" t="n"/>
      <c r="AY11" s="323" t="n"/>
      <c r="AZ11" s="323" t="n"/>
      <c r="BA11" s="323" t="n"/>
      <c r="BB11" s="323" t="n"/>
      <c r="BC11" s="323" t="n"/>
      <c r="BD11" s="324" t="n"/>
    </row>
    <row r="12" ht="20" customHeight="1">
      <c r="A12" s="322" t="inlineStr">
        <is>
          <t>REMOVE</t>
        </is>
      </c>
      <c r="B12" s="300" t="inlineStr">
        <is>
          <t>ABSENT</t>
        </is>
      </c>
      <c r="C12" s="300" t="inlineStr">
        <is>
          <t>ROLE</t>
        </is>
      </c>
      <c r="D12" s="300" t="inlineStr">
        <is>
          <t>CRITICAL</t>
        </is>
      </c>
      <c r="E12" s="300" t="inlineStr">
        <is>
          <t>REVIEWER</t>
        </is>
      </c>
      <c r="F12" s="300" t="inlineStr">
        <is>
          <t>EXPIRED</t>
        </is>
      </c>
      <c r="G12" s="300" t="n"/>
      <c r="H12" s="300" t="inlineStr">
        <is>
          <t>HIGH</t>
        </is>
      </c>
      <c r="I12" s="300" t="inlineStr">
        <is>
          <t>SYSTEM</t>
        </is>
      </c>
      <c r="J12" s="300" t="inlineStr">
        <is>
          <t>QUOTE</t>
        </is>
      </c>
      <c r="K12" s="300" t="inlineStr">
        <is>
          <t>PORTAL</t>
        </is>
      </c>
      <c r="L12" s="300" t="inlineStr">
        <is>
          <t>SUPERVISED</t>
        </is>
      </c>
      <c r="M12" s="300" t="inlineStr">
        <is>
          <t>CSR</t>
        </is>
      </c>
      <c r="N12" s="300" t="inlineStr">
        <is>
          <t>FIRST PIECE</t>
        </is>
      </c>
      <c r="O12" s="300" t="inlineStr">
        <is>
          <t>CONDITIONAL</t>
        </is>
      </c>
      <c r="P12" s="300" t="inlineStr">
        <is>
          <t>PLANNING</t>
        </is>
      </c>
      <c r="Q12" s="300" t="inlineStr">
        <is>
          <t>OBSOLETE</t>
        </is>
      </c>
      <c r="R12" s="300" t="inlineStr">
        <is>
          <t>ANNEX</t>
        </is>
      </c>
      <c r="S12" s="300" t="inlineStr">
        <is>
          <t>3</t>
        </is>
      </c>
      <c r="T12" s="300" t="inlineStr">
        <is>
          <t>IN-PROCESS</t>
        </is>
      </c>
      <c r="U12" s="300" t="inlineStr">
        <is>
          <t>MEDIUM</t>
        </is>
      </c>
      <c r="V12" s="300" t="inlineStr">
        <is>
          <t>COST</t>
        </is>
      </c>
      <c r="W12" s="300" t="inlineStr">
        <is>
          <t>KPI-SAFETY</t>
        </is>
      </c>
      <c r="X12" s="300" t="inlineStr">
        <is>
          <t>RESPONSE</t>
        </is>
      </c>
      <c r="Y12" s="300" t="inlineStr">
        <is>
          <t>ADJUST</t>
        </is>
      </c>
      <c r="Z12" s="300" t="inlineStr">
        <is>
          <t>RESTORED</t>
        </is>
      </c>
      <c r="AA12" s="300" t="inlineStr">
        <is>
          <t>FAIL</t>
        </is>
      </c>
      <c r="AB12" s="300" t="inlineStr">
        <is>
          <t>HIGH</t>
        </is>
      </c>
      <c r="AC12" s="300" t="inlineStr">
        <is>
          <t>COST</t>
        </is>
      </c>
      <c r="AD12" s="300" t="inlineStr">
        <is>
          <t>APPROVER</t>
        </is>
      </c>
      <c r="AE12" s="300" t="inlineStr">
        <is>
          <t>HOURLY</t>
        </is>
      </c>
      <c r="AF12" s="300" t="inlineStr">
        <is>
          <t>CLOSED</t>
        </is>
      </c>
      <c r="AG12" s="300" t="inlineStr">
        <is>
          <t>NA</t>
        </is>
      </c>
      <c r="AH12" s="323" t="n"/>
      <c r="AI12" s="323" t="n"/>
      <c r="AJ12" s="323" t="n"/>
      <c r="AK12" s="323" t="n"/>
      <c r="AL12" s="323" t="n"/>
      <c r="AM12" s="323" t="n"/>
      <c r="AN12" s="323" t="n"/>
      <c r="AO12" s="323" t="n"/>
      <c r="AP12" s="323" t="n"/>
      <c r="AQ12" s="323" t="n"/>
      <c r="AR12" s="323" t="n"/>
      <c r="AS12" s="323" t="n"/>
      <c r="AT12" s="323" t="n"/>
      <c r="AU12" s="323" t="n"/>
      <c r="AV12" s="323" t="n"/>
      <c r="AW12" s="323" t="n"/>
      <c r="AX12" s="323" t="n"/>
      <c r="AY12" s="323" t="n"/>
      <c r="AZ12" s="323" t="n"/>
      <c r="BA12" s="323" t="n"/>
      <c r="BB12" s="323" t="n"/>
      <c r="BC12" s="323" t="n"/>
      <c r="BD12" s="324" t="n"/>
    </row>
    <row r="13" ht="20" customHeight="1">
      <c r="A13" s="322" t="n"/>
      <c r="B13" s="300" t="inlineStr">
        <is>
          <t>EXCUSED</t>
        </is>
      </c>
      <c r="C13" s="300" t="inlineStr">
        <is>
          <t>SHIFT</t>
        </is>
      </c>
      <c r="D13" s="300" t="n"/>
      <c r="E13" s="300" t="inlineStr">
        <is>
          <t>APPROVER</t>
        </is>
      </c>
      <c r="F13" s="300" t="inlineStr">
        <is>
          <t>SUSPENDED</t>
        </is>
      </c>
      <c r="G13" s="300" t="n"/>
      <c r="H13" s="300" t="inlineStr">
        <is>
          <t>CRITICAL</t>
        </is>
      </c>
      <c r="I13" s="300" t="inlineStr">
        <is>
          <t>CONFIGURATION</t>
        </is>
      </c>
      <c r="J13" s="300" t="inlineStr">
        <is>
          <t>CSR</t>
        </is>
      </c>
      <c r="K13" s="300" t="inlineStr">
        <is>
          <t>NOTICE</t>
        </is>
      </c>
      <c r="L13" s="300" t="inlineStr">
        <is>
          <t>AUTHORIZED</t>
        </is>
      </c>
      <c r="M13" s="300" t="inlineStr">
        <is>
          <t>REGULATORY</t>
        </is>
      </c>
      <c r="N13" s="300" t="inlineStr">
        <is>
          <t>IN PROCESS</t>
        </is>
      </c>
      <c r="O13" s="300" t="inlineStr">
        <is>
          <t>ON HOLD</t>
        </is>
      </c>
      <c r="P13" s="300" t="inlineStr">
        <is>
          <t>PROD</t>
        </is>
      </c>
      <c r="Q13" s="300" t="inlineStr">
        <is>
          <t>SUPERSEDED</t>
        </is>
      </c>
      <c r="R13" s="300" t="inlineStr">
        <is>
          <t>FORM</t>
        </is>
      </c>
      <c r="S13" s="300" t="inlineStr">
        <is>
          <t>4</t>
        </is>
      </c>
      <c r="T13" s="300" t="inlineStr">
        <is>
          <t>FINAL</t>
        </is>
      </c>
      <c r="U13" s="300" t="inlineStr">
        <is>
          <t>HIGH</t>
        </is>
      </c>
      <c r="V13" s="300" t="inlineStr">
        <is>
          <t>SAFETY</t>
        </is>
      </c>
      <c r="W13" s="300" t="inlineStr">
        <is>
          <t>KPI-TRAINING</t>
        </is>
      </c>
      <c r="X13" s="300" t="inlineStr">
        <is>
          <t>SYSTEM</t>
        </is>
      </c>
      <c r="Y13" s="300" t="inlineStr">
        <is>
          <t>ESCALATE</t>
        </is>
      </c>
      <c r="Z13" s="300" t="inlineStr">
        <is>
          <t>ESCALATED</t>
        </is>
      </c>
      <c r="AA13" s="300" t="inlineStr">
        <is>
          <t>NA</t>
        </is>
      </c>
      <c r="AB13" s="300" t="inlineStr">
        <is>
          <t>CRITICAL</t>
        </is>
      </c>
      <c r="AC13" s="300" t="inlineStr">
        <is>
          <t>SAFETY</t>
        </is>
      </c>
      <c r="AD13" s="300" t="inlineStr">
        <is>
          <t>OWNER</t>
        </is>
      </c>
      <c r="AE13" s="300" t="inlineStr">
        <is>
          <t>SHIFT</t>
        </is>
      </c>
      <c r="AF13" s="300" t="inlineStr">
        <is>
          <t>MONITORING</t>
        </is>
      </c>
      <c r="AG13" s="300" t="n"/>
      <c r="AH13" s="323" t="n"/>
      <c r="AI13" s="323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3" t="n"/>
      <c r="AT13" s="323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4" t="n"/>
    </row>
    <row r="14" ht="20" customHeight="1">
      <c r="A14" s="322" t="n"/>
      <c r="B14" s="300" t="n"/>
      <c r="C14" s="300" t="inlineStr">
        <is>
          <t>MANAGEMENT</t>
        </is>
      </c>
      <c r="D14" s="300" t="n"/>
      <c r="E14" s="300" t="inlineStr">
        <is>
          <t>ADMIN</t>
        </is>
      </c>
      <c r="F14" s="300" t="n"/>
      <c r="G14" s="300" t="n"/>
      <c r="H14" s="300" t="n"/>
      <c r="I14" s="300" t="inlineStr">
        <is>
          <t>ACCESS</t>
        </is>
      </c>
      <c r="J14" s="300" t="inlineStr">
        <is>
          <t>CONTRACT</t>
        </is>
      </c>
      <c r="K14" s="300" t="inlineStr">
        <is>
          <t>TRAINING</t>
        </is>
      </c>
      <c r="L14" s="300" t="inlineStr">
        <is>
          <t>TRAINER</t>
        </is>
      </c>
      <c r="M14" s="300" t="inlineStr">
        <is>
          <t>INTERNAL</t>
        </is>
      </c>
      <c r="N14" s="300" t="inlineStr">
        <is>
          <t>FINAL</t>
        </is>
      </c>
      <c r="O14" s="300" t="n"/>
      <c r="P14" s="300" t="inlineStr">
        <is>
          <t>QA</t>
        </is>
      </c>
      <c r="Q14" s="300" t="inlineStr">
        <is>
          <t>ON HOLD</t>
        </is>
      </c>
      <c r="R14" s="300" t="inlineStr">
        <is>
          <t>POLICY</t>
        </is>
      </c>
      <c r="S14" s="300" t="inlineStr">
        <is>
          <t>5</t>
        </is>
      </c>
      <c r="T14" s="300" t="inlineStr">
        <is>
          <t>SHIPPING</t>
        </is>
      </c>
      <c r="U14" s="300" t="inlineStr">
        <is>
          <t>CRITICAL</t>
        </is>
      </c>
      <c r="V14" s="300" t="inlineStr">
        <is>
          <t>COMPLIANCE</t>
        </is>
      </c>
      <c r="W14" s="300" t="inlineStr">
        <is>
          <t>KPI-COST</t>
        </is>
      </c>
      <c r="X14" s="300" t="inlineStr">
        <is>
          <t>TRAINING</t>
        </is>
      </c>
      <c r="Y14" s="300" t="inlineStr">
        <is>
          <t>RECHECK</t>
        </is>
      </c>
      <c r="Z14" s="300" t="n"/>
      <c r="AA14" s="300" t="n"/>
      <c r="AB14" s="300" t="n"/>
      <c r="AC14" s="300" t="inlineStr">
        <is>
          <t>COMPLIANCE</t>
        </is>
      </c>
      <c r="AD14" s="300" t="inlineStr">
        <is>
          <t>ADMIN</t>
        </is>
      </c>
      <c r="AE14" s="300" t="inlineStr">
        <is>
          <t>DAILY</t>
        </is>
      </c>
      <c r="AF14" s="300" t="n"/>
      <c r="AG14" s="300" t="n"/>
      <c r="AH14" s="323" t="n"/>
      <c r="AI14" s="323" t="n"/>
      <c r="AJ14" s="323" t="n"/>
      <c r="AK14" s="323" t="n"/>
      <c r="AL14" s="323" t="n"/>
      <c r="AM14" s="323" t="n"/>
      <c r="AN14" s="323" t="n"/>
      <c r="AO14" s="323" t="n"/>
      <c r="AP14" s="323" t="n"/>
      <c r="AQ14" s="323" t="n"/>
      <c r="AR14" s="323" t="n"/>
      <c r="AS14" s="323" t="n"/>
      <c r="AT14" s="323" t="n"/>
      <c r="AU14" s="323" t="n"/>
      <c r="AV14" s="323" t="n"/>
      <c r="AW14" s="323" t="n"/>
      <c r="AX14" s="323" t="n"/>
      <c r="AY14" s="323" t="n"/>
      <c r="AZ14" s="323" t="n"/>
      <c r="BA14" s="323" t="n"/>
      <c r="BB14" s="323" t="n"/>
      <c r="BC14" s="323" t="n"/>
      <c r="BD14" s="324" t="n"/>
    </row>
    <row r="15" ht="20" customHeight="1">
      <c r="A15" s="322" t="n"/>
      <c r="B15" s="300" t="n"/>
      <c r="C15" s="300" t="inlineStr">
        <is>
          <t>CUSTOMER</t>
        </is>
      </c>
      <c r="D15" s="300" t="n"/>
      <c r="E15" s="300" t="n"/>
      <c r="F15" s="300" t="n"/>
      <c r="G15" s="300" t="n"/>
      <c r="H15" s="300" t="n"/>
      <c r="I15" s="300" t="inlineStr">
        <is>
          <t>TRAINING</t>
        </is>
      </c>
      <c r="J15" s="300" t="n"/>
      <c r="K15" s="300" t="inlineStr">
        <is>
          <t>ESCALATION</t>
        </is>
      </c>
      <c r="L15" s="300" t="n"/>
      <c r="M15" s="300" t="n"/>
      <c r="N15" s="300" t="inlineStr">
        <is>
          <t>FUNCTIONAL</t>
        </is>
      </c>
      <c r="O15" s="300" t="n"/>
      <c r="P15" s="300" t="inlineStr">
        <is>
          <t>PUR</t>
        </is>
      </c>
      <c r="Q15" s="300" t="n"/>
      <c r="R15" s="300" t="inlineStr">
        <is>
          <t>RECORD</t>
        </is>
      </c>
      <c r="S15" s="300" t="inlineStr">
        <is>
          <t>6</t>
        </is>
      </c>
      <c r="T15" s="300" t="n"/>
      <c r="U15" s="300" t="n"/>
      <c r="V15" s="300" t="inlineStr">
        <is>
          <t>SYSTEM</t>
        </is>
      </c>
      <c r="W15" s="300" t="n"/>
      <c r="X15" s="300" t="n"/>
      <c r="Y15" s="300" t="n"/>
      <c r="Z15" s="300" t="n"/>
      <c r="AA15" s="300" t="n"/>
      <c r="AB15" s="300" t="n"/>
      <c r="AC15" s="300" t="inlineStr">
        <is>
          <t>SYSTEM</t>
        </is>
      </c>
      <c r="AD15" s="300" t="n"/>
      <c r="AE15" s="300" t="inlineStr">
        <is>
          <t>WEEKLY</t>
        </is>
      </c>
      <c r="AF15" s="300" t="n"/>
      <c r="AG15" s="300" t="n"/>
      <c r="AH15" s="323" t="n"/>
      <c r="AI15" s="323" t="n"/>
      <c r="AJ15" s="323" t="n"/>
      <c r="AK15" s="323" t="n"/>
      <c r="AL15" s="323" t="n"/>
      <c r="AM15" s="323" t="n"/>
      <c r="AN15" s="323" t="n"/>
      <c r="AO15" s="323" t="n"/>
      <c r="AP15" s="323" t="n"/>
      <c r="AQ15" s="323" t="n"/>
      <c r="AR15" s="323" t="n"/>
      <c r="AS15" s="323" t="n"/>
      <c r="AT15" s="323" t="n"/>
      <c r="AU15" s="323" t="n"/>
      <c r="AV15" s="323" t="n"/>
      <c r="AW15" s="323" t="n"/>
      <c r="AX15" s="323" t="n"/>
      <c r="AY15" s="323" t="n"/>
      <c r="AZ15" s="323" t="n"/>
      <c r="BA15" s="323" t="n"/>
      <c r="BB15" s="323" t="n"/>
      <c r="BC15" s="323" t="n"/>
      <c r="BD15" s="324" t="n"/>
    </row>
    <row r="16" ht="20" customHeight="1">
      <c r="A16" s="322" t="n"/>
      <c r="B16" s="300" t="n"/>
      <c r="C16" s="300" t="n"/>
      <c r="D16" s="300" t="n"/>
      <c r="E16" s="300" t="n"/>
      <c r="F16" s="300" t="n"/>
      <c r="G16" s="300" t="n"/>
      <c r="H16" s="300" t="n"/>
      <c r="I16" s="300" t="n"/>
      <c r="J16" s="300" t="n"/>
      <c r="K16" s="300" t="n"/>
      <c r="L16" s="300" t="n"/>
      <c r="M16" s="300" t="n"/>
      <c r="N16" s="300" t="n"/>
      <c r="O16" s="300" t="n"/>
      <c r="P16" s="300" t="inlineStr">
        <is>
          <t>WHS</t>
        </is>
      </c>
      <c r="Q16" s="300" t="n"/>
      <c r="R16" s="300" t="n"/>
      <c r="S16" s="300" t="inlineStr">
        <is>
          <t>7</t>
        </is>
      </c>
      <c r="T16" s="300" t="n"/>
      <c r="U16" s="300" t="n"/>
      <c r="V16" s="300" t="inlineStr">
        <is>
          <t>CUSTOMER</t>
        </is>
      </c>
      <c r="W16" s="300" t="n"/>
      <c r="X16" s="300" t="n"/>
      <c r="Y16" s="300" t="n"/>
      <c r="Z16" s="300" t="n"/>
      <c r="AA16" s="300" t="n"/>
      <c r="AB16" s="300" t="n"/>
      <c r="AC16" s="300" t="inlineStr">
        <is>
          <t>PEOPLE</t>
        </is>
      </c>
      <c r="AD16" s="300" t="n"/>
      <c r="AE16" s="300" t="n"/>
      <c r="AF16" s="300" t="n"/>
      <c r="AG16" s="300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3" t="n"/>
      <c r="AR16" s="323" t="n"/>
      <c r="AS16" s="323" t="n"/>
      <c r="AT16" s="323" t="n"/>
      <c r="AU16" s="323" t="n"/>
      <c r="AV16" s="323" t="n"/>
      <c r="AW16" s="323" t="n"/>
      <c r="AX16" s="323" t="n"/>
      <c r="AY16" s="323" t="n"/>
      <c r="AZ16" s="323" t="n"/>
      <c r="BA16" s="323" t="n"/>
      <c r="BB16" s="323" t="n"/>
      <c r="BC16" s="323" t="n"/>
      <c r="BD16" s="324" t="n"/>
    </row>
    <row r="17" ht="20" customHeight="1">
      <c r="A17" s="322" t="n"/>
      <c r="B17" s="300" t="n"/>
      <c r="C17" s="300" t="n"/>
      <c r="D17" s="300" t="n"/>
      <c r="E17" s="300" t="n"/>
      <c r="F17" s="300" t="n"/>
      <c r="G17" s="300" t="n"/>
      <c r="H17" s="300" t="n"/>
      <c r="I17" s="300" t="n"/>
      <c r="J17" s="300" t="n"/>
      <c r="K17" s="300" t="n"/>
      <c r="L17" s="300" t="n"/>
      <c r="M17" s="300" t="n"/>
      <c r="N17" s="300" t="n"/>
      <c r="O17" s="300" t="n"/>
      <c r="P17" s="300" t="inlineStr">
        <is>
          <t>IT</t>
        </is>
      </c>
      <c r="Q17" s="300" t="n"/>
      <c r="R17" s="300" t="n"/>
      <c r="S17" s="300" t="inlineStr">
        <is>
          <t>8</t>
        </is>
      </c>
      <c r="T17" s="300" t="n"/>
      <c r="U17" s="300" t="n"/>
      <c r="V17" s="300" t="inlineStr">
        <is>
          <t>TRAINING</t>
        </is>
      </c>
      <c r="W17" s="300" t="n"/>
      <c r="X17" s="300" t="n"/>
      <c r="Y17" s="300" t="n"/>
      <c r="Z17" s="300" t="n"/>
      <c r="AA17" s="300" t="n"/>
      <c r="AB17" s="300" t="n"/>
      <c r="AC17" s="300" t="n"/>
      <c r="AD17" s="300" t="n"/>
      <c r="AE17" s="300" t="n"/>
      <c r="AF17" s="300" t="n"/>
      <c r="AG17" s="300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3" t="n"/>
      <c r="AR17" s="323" t="n"/>
      <c r="AS17" s="323" t="n"/>
      <c r="AT17" s="323" t="n"/>
      <c r="AU17" s="323" t="n"/>
      <c r="AV17" s="323" t="n"/>
      <c r="AW17" s="323" t="n"/>
      <c r="AX17" s="323" t="n"/>
      <c r="AY17" s="323" t="n"/>
      <c r="AZ17" s="323" t="n"/>
      <c r="BA17" s="323" t="n"/>
      <c r="BB17" s="323" t="n"/>
      <c r="BC17" s="323" t="n"/>
      <c r="BD17" s="324" t="n"/>
    </row>
    <row r="18" ht="20" customHeight="1">
      <c r="A18" s="322" t="n"/>
      <c r="B18" s="300" t="n"/>
      <c r="C18" s="300" t="n"/>
      <c r="D18" s="300" t="n"/>
      <c r="E18" s="300" t="n"/>
      <c r="F18" s="300" t="n"/>
      <c r="G18" s="300" t="n"/>
      <c r="H18" s="300" t="n"/>
      <c r="I18" s="300" t="n"/>
      <c r="J18" s="300" t="n"/>
      <c r="K18" s="300" t="n"/>
      <c r="L18" s="300" t="n"/>
      <c r="M18" s="300" t="n"/>
      <c r="N18" s="300" t="n"/>
      <c r="O18" s="300" t="n"/>
      <c r="P18" s="300" t="inlineStr">
        <is>
          <t>HR</t>
        </is>
      </c>
      <c r="Q18" s="300" t="n"/>
      <c r="R18" s="300" t="n"/>
      <c r="S18" s="300" t="inlineStr">
        <is>
          <t>9</t>
        </is>
      </c>
      <c r="T18" s="300" t="n"/>
      <c r="U18" s="300" t="n"/>
      <c r="V18" s="300" t="n"/>
      <c r="W18" s="300" t="n"/>
      <c r="X18" s="300" t="n"/>
      <c r="Y18" s="300" t="n"/>
      <c r="Z18" s="300" t="n"/>
      <c r="AA18" s="300" t="n"/>
      <c r="AB18" s="300" t="n"/>
      <c r="AC18" s="300" t="n"/>
      <c r="AD18" s="300" t="n"/>
      <c r="AE18" s="300" t="n"/>
      <c r="AF18" s="300" t="n"/>
      <c r="AG18" s="300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3" t="n"/>
      <c r="AR18" s="323" t="n"/>
      <c r="AS18" s="323" t="n"/>
      <c r="AT18" s="323" t="n"/>
      <c r="AU18" s="323" t="n"/>
      <c r="AV18" s="323" t="n"/>
      <c r="AW18" s="323" t="n"/>
      <c r="AX18" s="323" t="n"/>
      <c r="AY18" s="323" t="n"/>
      <c r="AZ18" s="323" t="n"/>
      <c r="BA18" s="323" t="n"/>
      <c r="BB18" s="323" t="n"/>
      <c r="BC18" s="323" t="n"/>
      <c r="BD18" s="324" t="n"/>
    </row>
    <row r="19" ht="20" customHeight="1">
      <c r="A19" s="325" t="n"/>
      <c r="B19" s="290" t="n"/>
      <c r="C19" s="290" t="n"/>
      <c r="D19" s="290" t="n"/>
      <c r="E19" s="290" t="n"/>
      <c r="F19" s="290" t="n"/>
      <c r="G19" s="290" t="n"/>
      <c r="H19" s="290" t="n"/>
      <c r="I19" s="290" t="n"/>
      <c r="J19" s="290" t="n"/>
      <c r="K19" s="290" t="n"/>
      <c r="L19" s="290" t="n"/>
      <c r="M19" s="290" t="n"/>
      <c r="N19" s="290" t="n"/>
      <c r="O19" s="290" t="n"/>
      <c r="P19" s="290" t="inlineStr">
        <is>
          <t>MGT</t>
        </is>
      </c>
      <c r="Q19" s="290" t="n"/>
      <c r="R19" s="290" t="n"/>
      <c r="S19" s="290" t="inlineStr">
        <is>
          <t>10</t>
        </is>
      </c>
      <c r="T19" s="290" t="n"/>
      <c r="U19" s="290" t="n"/>
      <c r="V19" s="290" t="n"/>
      <c r="W19" s="290" t="n"/>
      <c r="X19" s="290" t="n"/>
      <c r="Y19" s="290" t="n"/>
      <c r="Z19" s="290" t="n"/>
      <c r="AA19" s="290" t="n"/>
      <c r="AB19" s="290" t="n"/>
      <c r="AC19" s="290" t="n"/>
      <c r="AD19" s="290" t="n"/>
      <c r="AE19" s="290" t="n"/>
      <c r="AF19" s="290" t="n"/>
      <c r="AG19" s="290" t="n"/>
      <c r="AH19" s="326" t="n"/>
      <c r="AI19" s="326" t="n"/>
      <c r="AJ19" s="326" t="n"/>
      <c r="AK19" s="326" t="n"/>
      <c r="AL19" s="326" t="n"/>
      <c r="AM19" s="326" t="n"/>
      <c r="AN19" s="326" t="n"/>
      <c r="AO19" s="326" t="n"/>
      <c r="AP19" s="326" t="n"/>
      <c r="AQ19" s="326" t="n"/>
      <c r="AR19" s="326" t="n"/>
      <c r="AS19" s="326" t="n"/>
      <c r="AT19" s="326" t="n"/>
      <c r="AU19" s="326" t="n"/>
      <c r="AV19" s="326" t="n"/>
      <c r="AW19" s="326" t="n"/>
      <c r="AX19" s="326" t="n"/>
      <c r="AY19" s="326" t="n"/>
      <c r="AZ19" s="326" t="n"/>
      <c r="BA19" s="326" t="n"/>
      <c r="BB19" s="326" t="n"/>
      <c r="BC19" s="326" t="n"/>
      <c r="BD19" s="327" t="n"/>
    </row>
    <row r="20" ht="20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2026-03-20T09:14:11Z</dcterms:created>
  <dcterms:modified xmlns:dcterms="http://purl.org/dc/terms/" xmlns:xsi="http://www.w3.org/2001/XMLSchema-instance" xsi:type="dcterms:W3CDTF">2026-03-22T06:53:11Z</dcterms:modified>
</cp:coreProperties>
</file>