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1.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501_GATE" sheetId="1" state="visible" r:id="rId1"/>
    <sheet xmlns:r="http://schemas.openxmlformats.org/officeDocument/2006/relationships" name="_LISTS" sheetId="2" state="hidden" r:id="rId2"/>
    <sheet xmlns:r="http://schemas.openxmlformats.org/officeDocument/2006/relationships" name="_IMPORT" sheetId="3" state="hidden" r:id="rId3"/>
    <sheet xmlns:r="http://schemas.openxmlformats.org/officeDocument/2006/relationships" name="BLOCKERS" sheetId="4" state="visible" r:id="rId4"/>
    <sheet xmlns:r="http://schemas.openxmlformats.org/officeDocument/2006/relationships" name="REF_LINKS" sheetId="5" state="hidden" r:id="rId5"/>
  </sheets>
  <definedNames>
    <definedName name="VAL_RESULT_CORE">'_LISTS'!$A$2:$A$5</definedName>
    <definedName name="VAL_DECISION_GATE_CORE">'_LISTS'!$B$2:$B$5</definedName>
    <definedName name="VAL_STATUS_CORE">'_LISTS'!$C$2:$C$7</definedName>
    <definedName name="VAL_RISK_LEVEL_CORE">'_LISTS'!$D$2:$D$5</definedName>
    <definedName name="REF_JOB_WO_MASTER">'_IMPORT'!$A$2:$A$4</definedName>
    <definedName name="REF_PART_REV_MASTER">'_IMPORT'!$B$2:$B$4</definedName>
    <definedName name="REF_ROUTE_OPERATION_MASTER">'_IMPORT'!$C$2:$C$5</definedName>
    <definedName name="REF_MACHINE_WC_MASTER">'_IMPORT'!$D$2:$D$5</definedName>
    <definedName name="REF_OWNER_PERSON_MASTER">'_IMPORT'!$E$2:$E$6</definedName>
    <definedName name="_xlnm.Print_Titles" localSheetId="0">'FRM-501_GATE'!$1:$21</definedName>
    <definedName name="_xlnm.Print_Area" localSheetId="0">'FRM-501_GATE'!$A$1:$AN$47</definedName>
    <definedName name="_xlnm.Print_Titles" localSheetId="3">'BLOCKERS'!$1:$16</definedName>
    <definedName name="_xlnm.Print_Area" localSheetId="3">'BLOCKERS'!$A$1:$I$28</definedName>
    <definedName name="_xlnm.Print_Area" localSheetId="4">'REF_LINKS'!$A$1:$G$11</definedName>
  </definedNames>
  <calcPr calcId="124519" calcMode="auto" fullCalcOnLoad="1" forceFullCalc="1"/>
</workbook>
</file>

<file path=xl/styles.xml><?xml version="1.0" encoding="utf-8"?>
<styleSheet xmlns="http://schemas.openxmlformats.org/spreadsheetml/2006/main">
  <numFmts count="1">
    <numFmt numFmtId="164" formatCode="yyyy-mm-dd"/>
  </numFmts>
  <fonts count="86">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b val="1"/>
      <color rgb="00163A70"/>
      <sz val="8"/>
    </font>
    <font>
      <name val="Segoe UI"/>
      <color rgb="001F2B3D"/>
      <sz val="9"/>
    </font>
    <font>
      <name val="Segoe UI"/>
      <color rgb="0070829A"/>
      <sz val="7"/>
    </font>
    <font>
      <name val="Segoe UI"/>
      <b val="1"/>
      <color rgb="006D2F56"/>
      <sz val="8"/>
    </font>
    <font>
      <name val="Segoe UI"/>
      <b val="1"/>
      <color rgb="006E5500"/>
      <sz val="8"/>
    </font>
    <font>
      <name val="Segoe UI"/>
      <b val="1"/>
      <color rgb="004A2C85"/>
      <sz val="8"/>
    </font>
    <font>
      <name val="Segoe UI"/>
      <b val="1"/>
      <color rgb="001C5B3A"/>
      <sz val="8"/>
    </font>
    <font>
      <name val="Segoe UI"/>
      <color rgb="003D4B60"/>
      <sz val="7"/>
    </font>
    <font>
      <name val="Segoe UI"/>
      <b val="1"/>
      <color rgb="00163A70"/>
      <sz val="10"/>
    </font>
  </fonts>
  <fills count="57">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D8E8FF"/>
      </patternFill>
    </fill>
    <fill>
      <patternFill patternType="solid">
        <fgColor rgb="00F0D7E8"/>
      </patternFill>
    </fill>
    <fill>
      <patternFill patternType="solid">
        <fgColor rgb="00FFF3C4"/>
      </patternFill>
    </fill>
    <fill>
      <patternFill patternType="solid">
        <fgColor rgb="00E0D9FF"/>
      </patternFill>
    </fill>
    <fill>
      <patternFill patternType="solid">
        <fgColor rgb="00ECECEC"/>
      </patternFill>
    </fill>
    <fill>
      <patternFill patternType="solid">
        <fgColor rgb="00D7F0E2"/>
      </patternFill>
    </fill>
    <fill>
      <patternFill patternType="solid">
        <fgColor rgb="00EAF1FB"/>
      </patternFill>
    </fill>
    <fill>
      <patternFill patternType="solid">
        <fgColor rgb="00F3F7FB"/>
      </patternFill>
    </fill>
    <fill>
      <patternFill patternType="solid">
        <fgColor rgb="000F5FA6"/>
      </patternFill>
    </fill>
    <fill>
      <patternFill patternType="solid">
        <fgColor rgb="00F7F9FC"/>
      </patternFill>
    </fill>
  </fills>
  <borders count="290">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D9E2F3"/>
      </top>
      <bottom/>
      <diagonal/>
    </border>
    <border>
      <left/>
      <right style="thin">
        <color rgb="00D9E2F3"/>
      </right>
      <top style="thin">
        <color rgb="00D9E2F3"/>
      </top>
      <bottom/>
      <diagonal/>
    </border>
    <border>
      <left/>
      <right style="thin">
        <color rgb="00D9E2F3"/>
      </right>
      <top style="thin">
        <color rgb="00D9E2F3"/>
      </top>
      <bottom style="thin">
        <color rgb="00D9E2F3"/>
      </bottom>
      <diagonal/>
    </border>
    <border>
      <left/>
      <right/>
      <top style="thin">
        <color rgb="00D9E2F3"/>
      </top>
      <bottom style="thin">
        <color rgb="00D9E2F3"/>
      </bottom>
      <diagonal/>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s>
  <cellStyleXfs count="1">
    <xf numFmtId="0" fontId="0" fillId="0" borderId="0"/>
  </cellStyleXfs>
  <cellXfs count="398">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3" borderId="139" applyAlignment="1" pivotButton="0" quotePrefix="0" xfId="0">
      <alignment horizontal="center" vertical="center" wrapText="1"/>
    </xf>
    <xf numFmtId="0" fontId="4" fillId="3" borderId="16" applyAlignment="1" pivotButton="0" quotePrefix="0" xfId="0">
      <alignment horizontal="center" vertical="center" wrapText="1"/>
    </xf>
    <xf numFmtId="0" fontId="4" fillId="3" borderId="14" applyAlignment="1" pivotButton="0" quotePrefix="0" xfId="0">
      <alignment horizontal="center" vertical="center" wrapText="1"/>
    </xf>
    <xf numFmtId="0" fontId="12" fillId="6" borderId="268" applyAlignment="1" pivotButton="0" quotePrefix="0" xfId="0">
      <alignment horizontal="center" vertical="center" wrapText="1"/>
    </xf>
    <xf numFmtId="0" fontId="77" fillId="47" borderId="17" applyAlignment="1" pivotButton="0" quotePrefix="0" xfId="0">
      <alignment horizontal="center" vertical="center" wrapText="1"/>
    </xf>
    <xf numFmtId="0" fontId="78" fillId="4" borderId="17" applyAlignment="1" pivotButton="0" quotePrefix="0" xfId="0">
      <alignment horizontal="left" vertical="center" wrapText="1"/>
    </xf>
    <xf numFmtId="0" fontId="79" fillId="6" borderId="17" applyAlignment="1" pivotButton="0" quotePrefix="0" xfId="0">
      <alignment horizontal="left" vertical="center" wrapText="1"/>
    </xf>
    <xf numFmtId="0" fontId="78" fillId="4" borderId="268" applyAlignment="1" pivotButton="0" quotePrefix="0" xfId="0">
      <alignment horizontal="left" vertical="center" wrapText="1"/>
    </xf>
    <xf numFmtId="0" fontId="78" fillId="8" borderId="17" applyAlignment="1" pivotButton="0" quotePrefix="0" xfId="0">
      <alignment horizontal="left" vertical="center" wrapText="1"/>
    </xf>
    <xf numFmtId="0" fontId="80" fillId="48" borderId="17" applyAlignment="1" pivotButton="0" quotePrefix="0" xfId="0">
      <alignment horizontal="center" vertical="center" wrapText="1"/>
    </xf>
    <xf numFmtId="0" fontId="81" fillId="49" borderId="17" applyAlignment="1" pivotButton="0" quotePrefix="0" xfId="0">
      <alignment horizontal="center" vertical="center" wrapText="1"/>
    </xf>
    <xf numFmtId="0" fontId="82" fillId="50" borderId="17" applyAlignment="1" pivotButton="0" quotePrefix="0" xfId="0">
      <alignment horizontal="center" vertical="center" wrapText="1"/>
    </xf>
    <xf numFmtId="0" fontId="14" fillId="51" borderId="17" applyAlignment="1" pivotButton="0" quotePrefix="0" xfId="0">
      <alignment horizontal="center" vertical="center" wrapText="1"/>
    </xf>
    <xf numFmtId="0" fontId="83" fillId="52" borderId="18" applyAlignment="1" pivotButton="0" quotePrefix="0" xfId="0">
      <alignment horizontal="center" vertical="center" wrapText="1"/>
    </xf>
    <xf numFmtId="0" fontId="78" fillId="8" borderId="18" applyAlignment="1" pivotButton="0" quotePrefix="0" xfId="0">
      <alignment horizontal="left" vertical="center" wrapText="1"/>
    </xf>
    <xf numFmtId="0" fontId="79" fillId="6" borderId="18" applyAlignment="1" pivotButton="0" quotePrefix="0" xfId="0">
      <alignment horizontal="left" vertical="center" wrapText="1"/>
    </xf>
    <xf numFmtId="0" fontId="12" fillId="6" borderId="120" applyAlignment="1" pivotButton="0" quotePrefix="0" xfId="0">
      <alignment horizontal="center" vertical="center"/>
    </xf>
    <xf numFmtId="0" fontId="12" fillId="6" borderId="138" applyAlignment="1" pivotButton="0" quotePrefix="0" xfId="0">
      <alignment horizontal="center" vertical="center"/>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center" vertical="bottom"/>
    </xf>
    <xf numFmtId="0" fontId="0" fillId="0" borderId="131" pivotButton="0" quotePrefix="0" xfId="0"/>
    <xf numFmtId="0" fontId="0" fillId="0" borderId="118" pivotButton="0" quotePrefix="0" xfId="0"/>
    <xf numFmtId="0" fontId="84" fillId="7" borderId="130" applyAlignment="1" pivotButton="0" quotePrefix="0" xfId="0">
      <alignment horizontal="left" vertical="center" wrapText="1"/>
    </xf>
    <xf numFmtId="0" fontId="85" fillId="53" borderId="269" applyAlignment="1" pivotButton="0" quotePrefix="0" xfId="0">
      <alignment horizontal="left" vertical="center" wrapText="1"/>
    </xf>
    <xf numFmtId="0" fontId="84" fillId="54" borderId="0" applyAlignment="1" pivotButton="0" quotePrefix="0" xfId="0">
      <alignment horizontal="left" vertical="center" wrapText="1"/>
    </xf>
    <xf numFmtId="0" fontId="4" fillId="55" borderId="269" applyAlignment="1" pivotButton="0" quotePrefix="0" xfId="0">
      <alignment horizontal="center" vertical="center" wrapText="1"/>
    </xf>
    <xf numFmtId="0" fontId="78" fillId="4" borderId="268" applyAlignment="1" pivotButton="0" quotePrefix="0" xfId="0">
      <alignment horizontal="center" vertical="center" wrapText="1"/>
    </xf>
    <xf numFmtId="0" fontId="78" fillId="56" borderId="268" applyAlignment="1" pivotButton="0" quotePrefix="0" xfId="0">
      <alignment horizontal="center" vertical="center" wrapText="1"/>
    </xf>
    <xf numFmtId="0" fontId="78" fillId="56" borderId="268" applyAlignment="1" pivotButton="0" quotePrefix="0" xfId="0">
      <alignment horizontal="left" vertical="center" wrapText="1"/>
    </xf>
    <xf numFmtId="0" fontId="0" fillId="0" borderId="272" pivotButton="0" quotePrefix="0" xfId="0"/>
    <xf numFmtId="0" fontId="0" fillId="0" borderId="273" pivotButton="0" quotePrefix="0" xfId="0"/>
    <xf numFmtId="0" fontId="0" fillId="0" borderId="276" pivotButton="0" quotePrefix="0" xfId="0"/>
    <xf numFmtId="0" fontId="0" fillId="0" borderId="277" pivotButton="0" quotePrefix="0" xfId="0"/>
    <xf numFmtId="0" fontId="9" fillId="4" borderId="12" applyAlignment="1" pivotButton="0" quotePrefix="0" xfId="0">
      <alignment horizontal="center"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80" applyAlignment="1" pivotButton="0" quotePrefix="0" xfId="0">
      <alignment horizontal="left" vertical="center" wrapText="1" indent="1"/>
    </xf>
    <xf numFmtId="0" fontId="6" fillId="4" borderId="281"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82" applyAlignment="1" pivotButton="0" quotePrefix="0" xfId="0">
      <alignment horizontal="left" vertical="center" wrapText="1" indent="1"/>
    </xf>
    <xf numFmtId="0" fontId="6" fillId="4" borderId="283"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0" applyAlignment="1" pivotButton="0" quotePrefix="0" xfId="0">
      <alignment horizontal="left" vertical="center" wrapText="1" indent="1"/>
    </xf>
    <xf numFmtId="0" fontId="6" fillId="4" borderId="21" applyAlignment="1" pivotButton="0" quotePrefix="0" xfId="0">
      <alignment horizontal="left" vertical="center"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0" fontId="4" fillId="3" borderId="19" applyAlignment="1" pivotButton="0" quotePrefix="0" xfId="0">
      <alignment horizontal="center" vertical="center" wrapText="1"/>
    </xf>
    <xf numFmtId="0" fontId="4" fillId="3" borderId="284" applyAlignment="1" pivotButton="0" quotePrefix="0" xfId="0">
      <alignment horizontal="center" vertical="center" wrapText="1"/>
    </xf>
    <xf numFmtId="0" fontId="4" fillId="3" borderId="285" applyAlignment="1" pivotButton="0" quotePrefix="0" xfId="0">
      <alignment horizontal="center" vertical="center" wrapText="1"/>
    </xf>
    <xf numFmtId="0" fontId="6" fillId="6" borderId="286" applyAlignment="1" pivotButton="0" quotePrefix="0" xfId="0">
      <alignment horizontal="center" vertical="center" wrapText="1"/>
    </xf>
    <xf numFmtId="0" fontId="6" fillId="4" borderId="287" applyAlignment="1" pivotButton="0" quotePrefix="0" xfId="0">
      <alignment horizontal="left" vertical="center" wrapText="1" indent="1"/>
    </xf>
    <xf numFmtId="164" fontId="6" fillId="4" borderId="287" applyAlignment="1" pivotButton="0" quotePrefix="0" xfId="0">
      <alignment horizontal="left" vertical="center" wrapText="1" indent="1"/>
    </xf>
    <xf numFmtId="0" fontId="6" fillId="8" borderId="287" applyAlignment="1" pivotButton="0" quotePrefix="0" xfId="0">
      <alignment horizontal="left" vertical="center" wrapText="1" indent="1"/>
    </xf>
    <xf numFmtId="164" fontId="6" fillId="8" borderId="287" applyAlignment="1" pivotButton="0" quotePrefix="0" xfId="0">
      <alignment horizontal="left" vertical="center" wrapText="1" indent="1"/>
    </xf>
    <xf numFmtId="0" fontId="6" fillId="8" borderId="281" applyAlignment="1" pivotButton="0" quotePrefix="0" xfId="0">
      <alignment horizontal="left" vertical="center" wrapText="1" indent="1"/>
    </xf>
    <xf numFmtId="0" fontId="6" fillId="6" borderId="288" applyAlignment="1" pivotButton="0" quotePrefix="0" xfId="0">
      <alignment horizontal="center" vertical="center" wrapText="1"/>
    </xf>
    <xf numFmtId="0" fontId="6" fillId="8" borderId="289" applyAlignment="1" pivotButton="0" quotePrefix="0" xfId="0">
      <alignment horizontal="left" vertical="center" wrapText="1" indent="1"/>
    </xf>
    <xf numFmtId="164" fontId="6" fillId="8" borderId="289"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7" fillId="7" borderId="130" applyAlignment="1" pivotButton="0" quotePrefix="0" xfId="0">
      <alignment horizontal="left" vertical="center" wrapText="1" indent="2"/>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omments/comment1.xml><?xml version="1.0" encoding="utf-8"?>
<comments xmlns="http://schemas.openxmlformats.org/spreadsheetml/2006/main">
  <authors>
    <author>OpenAI</author>
  </authors>
  <commentList>
    <comment ref="I1" authorId="0" shapeId="0">
      <text>
        <t>Linked SOP/WI/ANNEX: SOP-501/SOP-502 | WI-501 | ANNEX-OPS-001/002 + ANNEX-QMS-008/020</t>
      </text>
    </comment>
    <comment ref="A47" authorId="0" shapeId="0">
      <text>
        <t>Upstream: FRM-203 / FRM-204 / FRM-306 / FRM-304 / FRM-305 / FRM-209. Downstream: FRM-502 / FRM-503 / FRM-504 / FRM-519.</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drawing1.xml><?xml version="1.0" encoding="utf-8"?>
<wsDr xmlns="http://schemas.openxmlformats.org/drawingml/2006/spreadsheetDrawing">
  <oneCellAnchor>
    <from>
      <col>0</col>
      <colOff>161925</colOff>
      <row>0</row>
      <rowOff>314325</rowOff>
    </from>
    <ext cx="1123950" cy="323850"/>
    <pic>
      <nvPicPr>
        <cNvPr id="1" name="/xl/media/image1.png"/>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2.xml><?xml version="1.0" encoding="utf-8"?>
<wsDr xmlns="http://schemas.openxmlformats.org/drawingml/2006/spreadsheetDrawing">
  <oneCellAnchor>
    <from>
      <col>0</col>
      <colOff>161925</colOff>
      <row>0</row>
      <rowOff>314325</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3.xml><?xml version="1.0" encoding="utf-8"?>
<wsDr xmlns="http://schemas.openxmlformats.org/drawingml/2006/spreadsheetDrawing">
  <oneCellAnchor>
    <from>
      <col>0</col>
      <colOff>161925</colOff>
      <row>0</row>
      <rowOff>314325</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ables/table1.xml><?xml version="1.0" encoding="utf-8"?>
<table xmlns="http://schemas.openxmlformats.org/spreadsheetml/2006/main" id="1" name="BLOCKERS" displayName="BLOCKERS" ref="A16:I26" headerRowCount="1">
  <autoFilter ref="A16:I26"/>
  <tableColumns count="9">
    <tableColumn id="1" name="#"/>
    <tableColumn id="2" name="Blocker / Constraint"/>
    <tableColumn id="3" name="Impact"/>
    <tableColumn id="4" name="Required Action"/>
    <tableColumn id="5" name="Owner"/>
    <tableColumn id="6" name="Due Date"/>
    <tableColumn id="7" name="Escalation"/>
    <tableColumn id="8" name="Status"/>
    <tableColumn id="9" name="Evidence Ref"/>
  </tableColumns>
  <tableStyleInfo name="TableStyleMedium2" showFirstColumn="0" showLastColumn="0" showRowStripes="0" showColumnStripes="0"/>
</table>
</file>

<file path=xl/tables/table2.xml><?xml version="1.0" encoding="utf-8"?>
<table xmlns="http://schemas.openxmlformats.org/spreadsheetml/2006/main" id="2"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RowStripes="1"/>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1.xml" Id="rId2"/></Relationships>
</file>

<file path=xl/worksheets/_rels/sheet5.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2.xml" Id="rId2"/></Relationships>
</file>

<file path=xl/worksheets/sheet1.xml><?xml version="1.0" encoding="utf-8"?>
<worksheet xmlns="http://schemas.openxmlformats.org/spreadsheetml/2006/main">
  <sheetPr>
    <outlinePr summaryBelow="1" summaryRight="1"/>
    <pageSetUpPr autoPageBreaks="0" fitToPage="1"/>
  </sheetPr>
  <dimension ref="A1:AN47"/>
  <sheetViews>
    <sheetView showGridLines="0" tabSelected="1" topLeftCell="A1" zoomScale="100" zoomScaleNormal="100" workbookViewId="0">
      <selection activeCell="A1" sqref="A1"/>
    </sheetView>
  </sheetViews>
  <sheetFormatPr baseColWidth="8" defaultRowHeight="15"/>
  <cols>
    <col width="2.329999923706055" customWidth="1" min="1" max="1"/>
    <col width="2.329999923706055" customWidth="1" min="2" max="2"/>
    <col width="2.329999923706055" customWidth="1" min="3" max="3"/>
    <col width="2.329999923706055" customWidth="1" min="4" max="4"/>
    <col width="2.329999923706055" customWidth="1" min="5" max="5"/>
    <col width="2.329999923706055" customWidth="1" min="6" max="6"/>
    <col width="2.329999923706055" customWidth="1" min="7" max="7"/>
    <col width="2.329999923706055" customWidth="1" min="8" max="8"/>
    <col width="2.329999923706055" customWidth="1" min="9" max="9"/>
    <col width="2.329999923706055" customWidth="1" min="10" max="10"/>
    <col width="2.329999923706055" customWidth="1" min="11" max="11"/>
    <col width="2.329999923706055" customWidth="1" min="12" max="12"/>
    <col width="2.329999923706055" customWidth="1" min="13" max="13"/>
    <col width="2.329999923706055" customWidth="1" min="14" max="14"/>
    <col width="2.329999923706055" customWidth="1" min="15" max="15"/>
    <col width="2.329999923706055" customWidth="1" min="16" max="16"/>
    <col width="2.329999923706055" customWidth="1" min="17" max="17"/>
    <col width="2.329999923706055" customWidth="1" min="18" max="18"/>
    <col width="2.329999923706055" customWidth="1" min="19" max="19"/>
    <col width="2.329999923706055" customWidth="1" min="20" max="20"/>
    <col width="2.329999923706055" customWidth="1" min="21" max="21"/>
    <col width="2.329999923706055" customWidth="1" min="22" max="22"/>
    <col width="2.329999923706055" customWidth="1" min="23" max="23"/>
    <col width="2.329999923706055" customWidth="1" min="24" max="24"/>
    <col width="2.329999923706055" customWidth="1" min="25" max="25"/>
    <col width="2.329999923706055" customWidth="1" min="26" max="26"/>
    <col width="2.329999923706055" customWidth="1" min="27" max="27"/>
    <col width="2.329999923706055" customWidth="1" min="28" max="28"/>
    <col width="2.329999923706055" customWidth="1" min="29" max="29"/>
    <col width="2.329999923706055" customWidth="1" min="30" max="30"/>
    <col width="2.329999923706055" customWidth="1" min="31" max="31"/>
    <col width="2.329999923706055" customWidth="1" min="32" max="32"/>
    <col width="2.329999923706055" customWidth="1" min="33" max="33"/>
    <col width="2.329999923706055" customWidth="1" min="34" max="34"/>
    <col width="2.329999923706055" customWidth="1" min="35" max="35"/>
    <col width="2.329999923706055" customWidth="1" min="36" max="36"/>
    <col width="2.329999923706055" customWidth="1" min="37" max="37"/>
    <col width="2.329999923706055" customWidth="1" min="38" max="38"/>
    <col width="2.329999923706055" customWidth="1" min="39" max="39"/>
    <col width="2.329999923706055" customWidth="1" min="40" max="40"/>
    <col hidden="1" outlineLevel="1" width="13" customWidth="1" min="41" max="16384"/>
  </cols>
  <sheetData>
    <row r="1" ht="15" customHeight="1">
      <c r="A1" s="267" t="inlineStr"/>
      <c r="B1" s="268" t="n"/>
      <c r="C1" s="268" t="n"/>
      <c r="D1" s="268" t="n"/>
      <c r="E1" s="268" t="n"/>
      <c r="F1" s="268" t="n"/>
      <c r="G1" s="268" t="n"/>
      <c r="H1" s="268" t="n"/>
      <c r="I1" s="336" t="inlineStr">
        <is>
          <t>PLANNING RELEASE CHECKLIST</t>
        </is>
      </c>
      <c r="J1" s="268" t="n"/>
      <c r="K1" s="268" t="n"/>
      <c r="L1" s="268" t="n"/>
      <c r="M1" s="268" t="n"/>
      <c r="N1" s="268" t="n"/>
      <c r="O1" s="268" t="n"/>
      <c r="P1" s="268" t="n"/>
      <c r="Q1" s="268" t="n"/>
      <c r="R1" s="268" t="n"/>
      <c r="S1" s="268" t="n"/>
      <c r="T1" s="268" t="n"/>
      <c r="U1" s="268" t="n"/>
      <c r="V1" s="268" t="n"/>
      <c r="W1" s="268" t="n"/>
      <c r="X1" s="268" t="n"/>
      <c r="Y1" s="268" t="n"/>
      <c r="Z1" s="268" t="n"/>
      <c r="AA1" s="268" t="n"/>
      <c r="AB1" s="268" t="n"/>
      <c r="AC1" s="268" t="n"/>
      <c r="AD1" s="268" t="n"/>
      <c r="AE1" s="270" t="inlineStr">
        <is>
          <t>Form Code</t>
        </is>
      </c>
      <c r="AF1" s="271" t="n"/>
      <c r="AG1" s="271" t="n"/>
      <c r="AH1" s="272" t="n"/>
      <c r="AI1" s="273" t="inlineStr">
        <is>
          <t>FRM-501</t>
        </is>
      </c>
      <c r="AJ1" s="271" t="n"/>
      <c r="AK1" s="271" t="n"/>
      <c r="AL1" s="271" t="n"/>
      <c r="AM1" s="271" t="n"/>
      <c r="AN1" s="274" t="n"/>
    </row>
    <row r="2" ht="15" customHeight="1">
      <c r="A2" s="275" t="n"/>
      <c r="I2" s="275" t="n"/>
      <c r="AE2" s="276" t="inlineStr">
        <is>
          <t>Revision</t>
        </is>
      </c>
      <c r="AF2" s="277" t="n"/>
      <c r="AG2" s="277" t="n"/>
      <c r="AH2" s="278" t="n"/>
      <c r="AI2" s="279" t="inlineStr">
        <is>
          <t>V0</t>
        </is>
      </c>
      <c r="AJ2" s="277" t="n"/>
      <c r="AK2" s="277" t="n"/>
      <c r="AL2" s="277" t="n"/>
      <c r="AM2" s="277" t="n"/>
      <c r="AN2" s="280" t="n"/>
    </row>
    <row r="3" ht="15" customHeight="1">
      <c r="A3" s="275" t="n"/>
      <c r="I3" s="281" t="n"/>
      <c r="J3" s="277" t="n"/>
      <c r="K3" s="277" t="n"/>
      <c r="L3" s="277" t="n"/>
      <c r="M3" s="277" t="n"/>
      <c r="N3" s="277" t="n"/>
      <c r="O3" s="277" t="n"/>
      <c r="P3" s="277" t="n"/>
      <c r="Q3" s="277" t="n"/>
      <c r="R3" s="277" t="n"/>
      <c r="S3" s="277" t="n"/>
      <c r="T3" s="277" t="n"/>
      <c r="U3" s="277" t="n"/>
      <c r="V3" s="277" t="n"/>
      <c r="W3" s="277" t="n"/>
      <c r="X3" s="277" t="n"/>
      <c r="Y3" s="277" t="n"/>
      <c r="Z3" s="277" t="n"/>
      <c r="AA3" s="277" t="n"/>
      <c r="AB3" s="277" t="n"/>
      <c r="AC3" s="277" t="n"/>
      <c r="AD3" s="277" t="n"/>
      <c r="AE3" s="276" t="inlineStr">
        <is>
          <t>Eff. Date</t>
        </is>
      </c>
      <c r="AF3" s="277" t="n"/>
      <c r="AG3" s="277" t="n"/>
      <c r="AH3" s="278" t="n"/>
      <c r="AI3" s="279" t="inlineStr">
        <is>
          <t>YYYY-MM-DD</t>
        </is>
      </c>
      <c r="AJ3" s="277" t="n"/>
      <c r="AK3" s="277" t="n"/>
      <c r="AL3" s="277" t="n"/>
      <c r="AM3" s="277" t="n"/>
      <c r="AN3" s="280" t="n"/>
    </row>
    <row r="4" ht="15" customHeight="1">
      <c r="A4" s="275" t="n"/>
      <c r="I4" s="17" t="inlineStr">
        <is>
          <t>Quality Management System  ·  Controlled Document</t>
        </is>
      </c>
      <c r="AE4" s="276" t="inlineStr">
        <is>
          <t>Owner</t>
        </is>
      </c>
      <c r="AF4" s="277" t="n"/>
      <c r="AG4" s="277" t="n"/>
      <c r="AH4" s="278" t="n"/>
      <c r="AI4" s="279" t="inlineStr">
        <is>
          <t>Planning</t>
        </is>
      </c>
      <c r="AJ4" s="277" t="n"/>
      <c r="AK4" s="277" t="n"/>
      <c r="AL4" s="277" t="n"/>
      <c r="AM4" s="277" t="n"/>
      <c r="AN4" s="280" t="n"/>
    </row>
    <row r="5" ht="15" customHeight="1">
      <c r="A5" s="282" t="n"/>
      <c r="B5" s="283" t="n"/>
      <c r="C5" s="283" t="n"/>
      <c r="D5" s="283" t="n"/>
      <c r="E5" s="283" t="n"/>
      <c r="F5" s="283" t="n"/>
      <c r="G5" s="283" t="n"/>
      <c r="H5" s="283" t="n"/>
      <c r="I5" s="20" t="inlineStr">
        <is>
          <t>HESEM Engineering  ·  ISO 9001 / AS9100  ·  Semiconductor Equipment Parts</t>
        </is>
      </c>
      <c r="J5" s="283" t="n"/>
      <c r="K5" s="283" t="n"/>
      <c r="L5" s="283" t="n"/>
      <c r="M5" s="283" t="n"/>
      <c r="N5" s="283" t="n"/>
      <c r="O5" s="283" t="n"/>
      <c r="P5" s="283" t="n"/>
      <c r="Q5" s="283" t="n"/>
      <c r="R5" s="283" t="n"/>
      <c r="S5" s="283" t="n"/>
      <c r="T5" s="283" t="n"/>
      <c r="U5" s="283" t="n"/>
      <c r="V5" s="283" t="n"/>
      <c r="W5" s="283" t="n"/>
      <c r="X5" s="283" t="n"/>
      <c r="Y5" s="283" t="n"/>
      <c r="Z5" s="283" t="n"/>
      <c r="AA5" s="283" t="n"/>
      <c r="AB5" s="283" t="n"/>
      <c r="AC5" s="283" t="n"/>
      <c r="AD5" s="283" t="n"/>
      <c r="AE5" s="284" t="inlineStr">
        <is>
          <t>Approved</t>
        </is>
      </c>
      <c r="AF5" s="283" t="n"/>
      <c r="AG5" s="283" t="n"/>
      <c r="AH5" s="285" t="n"/>
      <c r="AI5" s="286" t="inlineStr">
        <is>
          <t>Planning Manager</t>
        </is>
      </c>
      <c r="AJ5" s="283" t="n"/>
      <c r="AK5" s="283" t="n"/>
      <c r="AL5" s="283" t="n"/>
      <c r="AM5" s="283" t="n"/>
      <c r="AN5" s="287" t="n"/>
    </row>
    <row r="6" ht="4" customHeight="1">
      <c r="A6" s="25" t="inlineStr"/>
    </row>
    <row r="7" ht="17" customHeight="1">
      <c r="A7" s="288" t="inlineStr">
        <is>
          <t>1.  PLANNING RELEASE HEADER / REFERENCE INFORMATION</t>
        </is>
      </c>
      <c r="B7" s="289" t="n"/>
      <c r="C7" s="289" t="n"/>
      <c r="D7" s="289" t="n"/>
      <c r="E7" s="289" t="n"/>
      <c r="F7" s="289" t="n"/>
      <c r="G7" s="289" t="n"/>
      <c r="H7" s="289" t="n"/>
      <c r="I7" s="289" t="n"/>
      <c r="J7" s="289" t="n"/>
      <c r="K7" s="289" t="n"/>
      <c r="L7" s="289" t="n"/>
      <c r="M7" s="289" t="n"/>
      <c r="N7" s="289" t="n"/>
      <c r="O7" s="289" t="n"/>
      <c r="P7" s="289" t="n"/>
      <c r="Q7" s="289" t="n"/>
      <c r="R7" s="289" t="n"/>
      <c r="S7" s="289" t="n"/>
      <c r="T7" s="289" t="n"/>
      <c r="U7" s="289" t="n"/>
      <c r="V7" s="289" t="n"/>
      <c r="W7" s="289" t="n"/>
      <c r="X7" s="289" t="n"/>
      <c r="Y7" s="289" t="n"/>
      <c r="Z7" s="289" t="n"/>
      <c r="AA7" s="289" t="n"/>
      <c r="AB7" s="289" t="n"/>
      <c r="AC7" s="289" t="n"/>
      <c r="AD7" s="289" t="n"/>
      <c r="AE7" s="289" t="n"/>
      <c r="AF7" s="289" t="n"/>
      <c r="AG7" s="289" t="n"/>
      <c r="AH7" s="289" t="n"/>
      <c r="AI7" s="289" t="n"/>
      <c r="AJ7" s="289" t="n"/>
      <c r="AK7" s="289" t="n"/>
      <c r="AL7" s="289" t="n"/>
      <c r="AM7" s="289" t="n"/>
      <c r="AN7" s="290" t="n"/>
    </row>
    <row r="8" ht="20" customHeight="1">
      <c r="A8" s="291" t="inlineStr">
        <is>
          <t>Job / WO</t>
        </is>
      </c>
      <c r="B8" s="271" t="n"/>
      <c r="C8" s="271" t="n"/>
      <c r="D8" s="271" t="n"/>
      <c r="E8" s="271" t="n"/>
      <c r="F8" s="271" t="n"/>
      <c r="G8" s="272" t="n"/>
      <c r="H8" s="292" t="inlineStr"/>
      <c r="I8" s="271" t="n"/>
      <c r="J8" s="271" t="n"/>
      <c r="K8" s="271" t="n"/>
      <c r="L8" s="271" t="n"/>
      <c r="M8" s="271" t="n"/>
      <c r="N8" s="271" t="n"/>
      <c r="O8" s="271" t="n"/>
      <c r="P8" s="271" t="n"/>
      <c r="Q8" s="271" t="n"/>
      <c r="R8" s="271" t="n"/>
      <c r="S8" s="271" t="n"/>
      <c r="T8" s="272" t="n"/>
      <c r="U8" s="293" t="inlineStr">
        <is>
          <t>Part No. / Revision</t>
        </is>
      </c>
      <c r="V8" s="271" t="n"/>
      <c r="W8" s="271" t="n"/>
      <c r="X8" s="271" t="n"/>
      <c r="Y8" s="271" t="n"/>
      <c r="Z8" s="271" t="n"/>
      <c r="AA8" s="272" t="n"/>
      <c r="AB8" s="294" t="inlineStr"/>
      <c r="AC8" s="271" t="n"/>
      <c r="AD8" s="271" t="n"/>
      <c r="AE8" s="271" t="n"/>
      <c r="AF8" s="271" t="n"/>
      <c r="AG8" s="271" t="n"/>
      <c r="AH8" s="271" t="n"/>
      <c r="AI8" s="271" t="n"/>
      <c r="AJ8" s="271" t="n"/>
      <c r="AK8" s="271" t="n"/>
      <c r="AL8" s="271" t="n"/>
      <c r="AM8" s="271" t="n"/>
      <c r="AN8" s="274" t="n"/>
    </row>
    <row r="9" ht="20" customHeight="1">
      <c r="A9" s="295" t="inlineStr">
        <is>
          <t>Planner</t>
        </is>
      </c>
      <c r="B9" s="277" t="n"/>
      <c r="C9" s="277" t="n"/>
      <c r="D9" s="277" t="n"/>
      <c r="E9" s="277" t="n"/>
      <c r="F9" s="277" t="n"/>
      <c r="G9" s="278" t="n"/>
      <c r="H9" s="296" t="inlineStr"/>
      <c r="I9" s="277" t="n"/>
      <c r="J9" s="277" t="n"/>
      <c r="K9" s="277" t="n"/>
      <c r="L9" s="277" t="n"/>
      <c r="M9" s="277" t="n"/>
      <c r="N9" s="277" t="n"/>
      <c r="O9" s="277" t="n"/>
      <c r="P9" s="277" t="n"/>
      <c r="Q9" s="277" t="n"/>
      <c r="R9" s="277" t="n"/>
      <c r="S9" s="277" t="n"/>
      <c r="T9" s="278" t="n"/>
      <c r="U9" s="297" t="inlineStr">
        <is>
          <t>Current Route / Operation</t>
        </is>
      </c>
      <c r="V9" s="277" t="n"/>
      <c r="W9" s="277" t="n"/>
      <c r="X9" s="277" t="n"/>
      <c r="Y9" s="277" t="n"/>
      <c r="Z9" s="277" t="n"/>
      <c r="AA9" s="278" t="n"/>
      <c r="AB9" s="279" t="inlineStr"/>
      <c r="AC9" s="277" t="n"/>
      <c r="AD9" s="277" t="n"/>
      <c r="AE9" s="277" t="n"/>
      <c r="AF9" s="277" t="n"/>
      <c r="AG9" s="277" t="n"/>
      <c r="AH9" s="277" t="n"/>
      <c r="AI9" s="277" t="n"/>
      <c r="AJ9" s="277" t="n"/>
      <c r="AK9" s="277" t="n"/>
      <c r="AL9" s="277" t="n"/>
      <c r="AM9" s="277" t="n"/>
      <c r="AN9" s="280" t="n"/>
    </row>
    <row r="10" ht="20" customHeight="1">
      <c r="A10" s="295" t="inlineStr">
        <is>
          <t>Required By / Promise</t>
        </is>
      </c>
      <c r="B10" s="277" t="n"/>
      <c r="C10" s="277" t="n"/>
      <c r="D10" s="277" t="n"/>
      <c r="E10" s="277" t="n"/>
      <c r="F10" s="277" t="n"/>
      <c r="G10" s="278" t="n"/>
      <c r="H10" s="296" t="inlineStr"/>
      <c r="I10" s="277" t="n"/>
      <c r="J10" s="277" t="n"/>
      <c r="K10" s="277" t="n"/>
      <c r="L10" s="277" t="n"/>
      <c r="M10" s="277" t="n"/>
      <c r="N10" s="277" t="n"/>
      <c r="O10" s="277" t="n"/>
      <c r="P10" s="277" t="n"/>
      <c r="Q10" s="277" t="n"/>
      <c r="R10" s="277" t="n"/>
      <c r="S10" s="277" t="n"/>
      <c r="T10" s="278" t="n"/>
      <c r="U10" s="297" t="inlineStr">
        <is>
          <t>Machine / Cell</t>
        </is>
      </c>
      <c r="V10" s="277" t="n"/>
      <c r="W10" s="277" t="n"/>
      <c r="X10" s="277" t="n"/>
      <c r="Y10" s="277" t="n"/>
      <c r="Z10" s="277" t="n"/>
      <c r="AA10" s="278" t="n"/>
      <c r="AB10" s="279" t="inlineStr"/>
      <c r="AC10" s="277" t="n"/>
      <c r="AD10" s="277" t="n"/>
      <c r="AE10" s="277" t="n"/>
      <c r="AF10" s="277" t="n"/>
      <c r="AG10" s="277" t="n"/>
      <c r="AH10" s="277" t="n"/>
      <c r="AI10" s="277" t="n"/>
      <c r="AJ10" s="277" t="n"/>
      <c r="AK10" s="277" t="n"/>
      <c r="AL10" s="277" t="n"/>
      <c r="AM10" s="277" t="n"/>
      <c r="AN10" s="280" t="n"/>
    </row>
    <row r="11" ht="20" customHeight="1">
      <c r="A11" s="295" t="inlineStr">
        <is>
          <t>Material / Source Status</t>
        </is>
      </c>
      <c r="B11" s="277" t="n"/>
      <c r="C11" s="277" t="n"/>
      <c r="D11" s="277" t="n"/>
      <c r="E11" s="277" t="n"/>
      <c r="F11" s="277" t="n"/>
      <c r="G11" s="278" t="n"/>
      <c r="H11" s="296" t="inlineStr"/>
      <c r="I11" s="277" t="n"/>
      <c r="J11" s="277" t="n"/>
      <c r="K11" s="277" t="n"/>
      <c r="L11" s="277" t="n"/>
      <c r="M11" s="277" t="n"/>
      <c r="N11" s="277" t="n"/>
      <c r="O11" s="277" t="n"/>
      <c r="P11" s="277" t="n"/>
      <c r="Q11" s="277" t="n"/>
      <c r="R11" s="277" t="n"/>
      <c r="S11" s="277" t="n"/>
      <c r="T11" s="278" t="n"/>
      <c r="U11" s="297" t="inlineStr">
        <is>
          <t>Risk Class</t>
        </is>
      </c>
      <c r="V11" s="277" t="n"/>
      <c r="W11" s="277" t="n"/>
      <c r="X11" s="277" t="n"/>
      <c r="Y11" s="277" t="n"/>
      <c r="Z11" s="277" t="n"/>
      <c r="AA11" s="278" t="n"/>
      <c r="AB11" s="279" t="inlineStr"/>
      <c r="AC11" s="277" t="n"/>
      <c r="AD11" s="277" t="n"/>
      <c r="AE11" s="277" t="n"/>
      <c r="AF11" s="277" t="n"/>
      <c r="AG11" s="277" t="n"/>
      <c r="AH11" s="277" t="n"/>
      <c r="AI11" s="277" t="n"/>
      <c r="AJ11" s="277" t="n"/>
      <c r="AK11" s="277" t="n"/>
      <c r="AL11" s="277" t="n"/>
      <c r="AM11" s="277" t="n"/>
      <c r="AN11" s="280" t="n"/>
    </row>
    <row r="12" ht="20" customHeight="1">
      <c r="A12" s="298" t="inlineStr">
        <is>
          <t>Evidence Folder</t>
        </is>
      </c>
      <c r="B12" s="283" t="n"/>
      <c r="C12" s="283" t="n"/>
      <c r="D12" s="283" t="n"/>
      <c r="E12" s="283" t="n"/>
      <c r="F12" s="283" t="n"/>
      <c r="G12" s="285" t="n"/>
      <c r="H12" s="299" t="inlineStr"/>
      <c r="I12" s="283" t="n"/>
      <c r="J12" s="283" t="n"/>
      <c r="K12" s="283" t="n"/>
      <c r="L12" s="283" t="n"/>
      <c r="M12" s="283" t="n"/>
      <c r="N12" s="283" t="n"/>
      <c r="O12" s="283" t="n"/>
      <c r="P12" s="283" t="n"/>
      <c r="Q12" s="283" t="n"/>
      <c r="R12" s="283" t="n"/>
      <c r="S12" s="283" t="n"/>
      <c r="T12" s="285" t="n"/>
      <c r="U12" s="300" t="inlineStr">
        <is>
          <t>Record Status</t>
        </is>
      </c>
      <c r="V12" s="283" t="n"/>
      <c r="W12" s="283" t="n"/>
      <c r="X12" s="283" t="n"/>
      <c r="Y12" s="283" t="n"/>
      <c r="Z12" s="283" t="n"/>
      <c r="AA12" s="285" t="n"/>
      <c r="AB12" s="286" t="inlineStr"/>
      <c r="AC12" s="283" t="n"/>
      <c r="AD12" s="283" t="n"/>
      <c r="AE12" s="283" t="n"/>
      <c r="AF12" s="283" t="n"/>
      <c r="AG12" s="283" t="n"/>
      <c r="AH12" s="283" t="n"/>
      <c r="AI12" s="283" t="n"/>
      <c r="AJ12" s="283" t="n"/>
      <c r="AK12" s="283" t="n"/>
      <c r="AL12" s="283" t="n"/>
      <c r="AM12" s="283" t="n"/>
      <c r="AN12" s="287" t="n"/>
    </row>
    <row r="13" ht="4" customHeight="1">
      <c r="A13" s="25" t="n"/>
    </row>
    <row r="14" ht="17" customHeight="1">
      <c r="A14" s="288" t="inlineStr">
        <is>
          <t>2.  RELEASE DECISION / BLOCKERS</t>
        </is>
      </c>
      <c r="B14" s="289" t="n"/>
      <c r="C14" s="289" t="n"/>
      <c r="D14" s="289" t="n"/>
      <c r="E14" s="289" t="n"/>
      <c r="F14" s="289" t="n"/>
      <c r="G14" s="289" t="n"/>
      <c r="H14" s="289" t="n"/>
      <c r="I14" s="289" t="n"/>
      <c r="J14" s="289" t="n"/>
      <c r="K14" s="289" t="n"/>
      <c r="L14" s="289" t="n"/>
      <c r="M14" s="289" t="n"/>
      <c r="N14" s="289" t="n"/>
      <c r="O14" s="289" t="n"/>
      <c r="P14" s="289" t="n"/>
      <c r="Q14" s="289" t="n"/>
      <c r="R14" s="289" t="n"/>
      <c r="S14" s="289" t="n"/>
      <c r="T14" s="289" t="n"/>
      <c r="U14" s="289" t="n"/>
      <c r="V14" s="289" t="n"/>
      <c r="W14" s="289" t="n"/>
      <c r="X14" s="289" t="n"/>
      <c r="Y14" s="289" t="n"/>
      <c r="Z14" s="289" t="n"/>
      <c r="AA14" s="289" t="n"/>
      <c r="AB14" s="289" t="n"/>
      <c r="AC14" s="289" t="n"/>
      <c r="AD14" s="289" t="n"/>
      <c r="AE14" s="289" t="n"/>
      <c r="AF14" s="289" t="n"/>
      <c r="AG14" s="289" t="n"/>
      <c r="AH14" s="289" t="n"/>
      <c r="AI14" s="289" t="n"/>
      <c r="AJ14" s="289" t="n"/>
      <c r="AK14" s="289" t="n"/>
      <c r="AL14" s="289" t="n"/>
      <c r="AM14" s="289" t="n"/>
      <c r="AN14" s="290" t="n"/>
    </row>
    <row r="15" ht="20" customHeight="1">
      <c r="A15" s="291" t="inlineStr">
        <is>
          <t>Release Trigger</t>
        </is>
      </c>
      <c r="B15" s="271" t="n"/>
      <c r="C15" s="271" t="n"/>
      <c r="D15" s="271" t="n"/>
      <c r="E15" s="271" t="n"/>
      <c r="F15" s="271" t="n"/>
      <c r="G15" s="272" t="n"/>
      <c r="H15" s="292" t="inlineStr">
        <is>
          <t>Planning release before dispatch / setup</t>
        </is>
      </c>
      <c r="I15" s="271" t="n"/>
      <c r="J15" s="271" t="n"/>
      <c r="K15" s="271" t="n"/>
      <c r="L15" s="271" t="n"/>
      <c r="M15" s="271" t="n"/>
      <c r="N15" s="271" t="n"/>
      <c r="O15" s="271" t="n"/>
      <c r="P15" s="271" t="n"/>
      <c r="Q15" s="271" t="n"/>
      <c r="R15" s="271" t="n"/>
      <c r="S15" s="271" t="n"/>
      <c r="T15" s="272" t="n"/>
      <c r="U15" s="293" t="inlineStr">
        <is>
          <t>Release Conclusion</t>
        </is>
      </c>
      <c r="V15" s="271" t="n"/>
      <c r="W15" s="271" t="n"/>
      <c r="X15" s="271" t="n"/>
      <c r="Y15" s="271" t="n"/>
      <c r="Z15" s="271" t="n"/>
      <c r="AA15" s="272" t="n"/>
      <c r="AB15" s="294">
        <f>IF(COUNTA(AF22:AF31)=0,"",IF(COUNTIF(AF22:AF31,"FAIL")+COUNTIF(AF22:AF31,"HOLD")&gt;0,"HOLD",IF(COUNTIF(AF22:AF31,"PASS")=COUNTA(AF22:AF31),"APPROVED","CONDITIONAL")))</f>
        <v/>
      </c>
      <c r="AC15" s="271" t="n"/>
      <c r="AD15" s="271" t="n"/>
      <c r="AE15" s="271" t="n"/>
      <c r="AF15" s="271" t="n"/>
      <c r="AG15" s="271" t="n"/>
      <c r="AH15" s="271" t="n"/>
      <c r="AI15" s="271" t="n"/>
      <c r="AJ15" s="271" t="n"/>
      <c r="AK15" s="271" t="n"/>
      <c r="AL15" s="271" t="n"/>
      <c r="AM15" s="271" t="n"/>
      <c r="AN15" s="274" t="n"/>
    </row>
    <row r="16" ht="20" customHeight="1">
      <c r="A16" s="295" t="inlineStr">
        <is>
          <t>Top Constraint / Blocker</t>
        </is>
      </c>
      <c r="B16" s="277" t="n"/>
      <c r="C16" s="277" t="n"/>
      <c r="D16" s="277" t="n"/>
      <c r="E16" s="277" t="n"/>
      <c r="F16" s="277" t="n"/>
      <c r="G16" s="278" t="n"/>
      <c r="H16" s="296" t="inlineStr"/>
      <c r="I16" s="277" t="n"/>
      <c r="J16" s="277" t="n"/>
      <c r="K16" s="277" t="n"/>
      <c r="L16" s="277" t="n"/>
      <c r="M16" s="277" t="n"/>
      <c r="N16" s="277" t="n"/>
      <c r="O16" s="277" t="n"/>
      <c r="P16" s="277" t="n"/>
      <c r="Q16" s="277" t="n"/>
      <c r="R16" s="277" t="n"/>
      <c r="S16" s="277" t="n"/>
      <c r="T16" s="278" t="n"/>
      <c r="U16" s="297" t="inlineStr">
        <is>
          <t>Next Step</t>
        </is>
      </c>
      <c r="V16" s="277" t="n"/>
      <c r="W16" s="277" t="n"/>
      <c r="X16" s="277" t="n"/>
      <c r="Y16" s="277" t="n"/>
      <c r="Z16" s="277" t="n"/>
      <c r="AA16" s="278" t="n"/>
      <c r="AB16" s="279" t="inlineStr"/>
      <c r="AC16" s="277" t="n"/>
      <c r="AD16" s="277" t="n"/>
      <c r="AE16" s="277" t="n"/>
      <c r="AF16" s="277" t="n"/>
      <c r="AG16" s="277" t="n"/>
      <c r="AH16" s="277" t="n"/>
      <c r="AI16" s="277" t="n"/>
      <c r="AJ16" s="277" t="n"/>
      <c r="AK16" s="277" t="n"/>
      <c r="AL16" s="277" t="n"/>
      <c r="AM16" s="277" t="n"/>
      <c r="AN16" s="280" t="n"/>
    </row>
    <row r="17" ht="20" customHeight="1">
      <c r="A17" s="295" t="inlineStr">
        <is>
          <t>Action Owner</t>
        </is>
      </c>
      <c r="B17" s="277" t="n"/>
      <c r="C17" s="277" t="n"/>
      <c r="D17" s="277" t="n"/>
      <c r="E17" s="277" t="n"/>
      <c r="F17" s="277" t="n"/>
      <c r="G17" s="278" t="n"/>
      <c r="H17" s="296" t="inlineStr"/>
      <c r="I17" s="277" t="n"/>
      <c r="J17" s="277" t="n"/>
      <c r="K17" s="277" t="n"/>
      <c r="L17" s="277" t="n"/>
      <c r="M17" s="277" t="n"/>
      <c r="N17" s="277" t="n"/>
      <c r="O17" s="277" t="n"/>
      <c r="P17" s="277" t="n"/>
      <c r="Q17" s="277" t="n"/>
      <c r="R17" s="277" t="n"/>
      <c r="S17" s="277" t="n"/>
      <c r="T17" s="278" t="n"/>
      <c r="U17" s="297" t="inlineStr">
        <is>
          <t>Due Date</t>
        </is>
      </c>
      <c r="V17" s="277" t="n"/>
      <c r="W17" s="277" t="n"/>
      <c r="X17" s="277" t="n"/>
      <c r="Y17" s="277" t="n"/>
      <c r="Z17" s="277" t="n"/>
      <c r="AA17" s="278" t="n"/>
      <c r="AB17" s="279" t="inlineStr"/>
      <c r="AC17" s="277" t="n"/>
      <c r="AD17" s="277" t="n"/>
      <c r="AE17" s="277" t="n"/>
      <c r="AF17" s="277" t="n"/>
      <c r="AG17" s="277" t="n"/>
      <c r="AH17" s="277" t="n"/>
      <c r="AI17" s="277" t="n"/>
      <c r="AJ17" s="277" t="n"/>
      <c r="AK17" s="277" t="n"/>
      <c r="AL17" s="277" t="n"/>
      <c r="AM17" s="277" t="n"/>
      <c r="AN17" s="280" t="n"/>
    </row>
    <row r="18" ht="20" customHeight="1">
      <c r="A18" s="298" t="inlineStr">
        <is>
          <t>Escalation if Overdue</t>
        </is>
      </c>
      <c r="B18" s="283" t="n"/>
      <c r="C18" s="283" t="n"/>
      <c r="D18" s="283" t="n"/>
      <c r="E18" s="283" t="n"/>
      <c r="F18" s="283" t="n"/>
      <c r="G18" s="285" t="n"/>
      <c r="H18" s="299" t="inlineStr"/>
      <c r="I18" s="283" t="n"/>
      <c r="J18" s="283" t="n"/>
      <c r="K18" s="283" t="n"/>
      <c r="L18" s="283" t="n"/>
      <c r="M18" s="283" t="n"/>
      <c r="N18" s="283" t="n"/>
      <c r="O18" s="283" t="n"/>
      <c r="P18" s="283" t="n"/>
      <c r="Q18" s="283" t="n"/>
      <c r="R18" s="283" t="n"/>
      <c r="S18" s="283" t="n"/>
      <c r="T18" s="285" t="n"/>
      <c r="U18" s="300" t="inlineStr">
        <is>
          <t>Release Status</t>
        </is>
      </c>
      <c r="V18" s="283" t="n"/>
      <c r="W18" s="283" t="n"/>
      <c r="X18" s="283" t="n"/>
      <c r="Y18" s="283" t="n"/>
      <c r="Z18" s="283" t="n"/>
      <c r="AA18" s="285" t="n"/>
      <c r="AB18" s="286">
        <f>IF(COUNTA(AF22:AF31)=0,"",IF(COUNTIF(AF22:AF31,"FAIL")+COUNTIF(AF22:AF31,"HOLD")&gt;0,"OPEN","CLOSED"))</f>
        <v/>
      </c>
      <c r="AC18" s="283" t="n"/>
      <c r="AD18" s="283" t="n"/>
      <c r="AE18" s="283" t="n"/>
      <c r="AF18" s="283" t="n"/>
      <c r="AG18" s="283" t="n"/>
      <c r="AH18" s="283" t="n"/>
      <c r="AI18" s="283" t="n"/>
      <c r="AJ18" s="283" t="n"/>
      <c r="AK18" s="283" t="n"/>
      <c r="AL18" s="283" t="n"/>
      <c r="AM18" s="283" t="n"/>
      <c r="AN18" s="287" t="n"/>
    </row>
    <row r="19" ht="4" customHeight="1">
      <c r="A19" s="25" t="n"/>
    </row>
    <row r="20" ht="17" customHeight="1">
      <c r="A20" s="288" t="inlineStr">
        <is>
          <t>3.  CAPACITY AND MATERIAL READINESS CHECK</t>
        </is>
      </c>
      <c r="B20" s="289" t="n"/>
      <c r="C20" s="289" t="n"/>
      <c r="D20" s="289" t="n"/>
      <c r="E20" s="289" t="n"/>
      <c r="F20" s="289" t="n"/>
      <c r="G20" s="289" t="n"/>
      <c r="H20" s="289" t="n"/>
      <c r="I20" s="289" t="n"/>
      <c r="J20" s="289" t="n"/>
      <c r="K20" s="289" t="n"/>
      <c r="L20" s="289" t="n"/>
      <c r="M20" s="289" t="n"/>
      <c r="N20" s="289" t="n"/>
      <c r="O20" s="289" t="n"/>
      <c r="P20" s="289" t="n"/>
      <c r="Q20" s="289" t="n"/>
      <c r="R20" s="289" t="n"/>
      <c r="S20" s="289" t="n"/>
      <c r="T20" s="289" t="n"/>
      <c r="U20" s="289" t="n"/>
      <c r="V20" s="289" t="n"/>
      <c r="W20" s="289" t="n"/>
      <c r="X20" s="289" t="n"/>
      <c r="Y20" s="289" t="n"/>
      <c r="Z20" s="289" t="n"/>
      <c r="AA20" s="289" t="n"/>
      <c r="AB20" s="289" t="n"/>
      <c r="AC20" s="289" t="n"/>
      <c r="AD20" s="289" t="n"/>
      <c r="AE20" s="289" t="n"/>
      <c r="AF20" s="289" t="n"/>
      <c r="AG20" s="289" t="n"/>
      <c r="AH20" s="289" t="n"/>
      <c r="AI20" s="289" t="n"/>
      <c r="AJ20" s="289" t="n"/>
      <c r="AK20" s="289" t="n"/>
      <c r="AL20" s="289" t="n"/>
      <c r="AM20" s="289" t="n"/>
      <c r="AN20" s="290" t="n"/>
    </row>
    <row r="21" ht="17" customHeight="1">
      <c r="A21" s="301" t="inlineStr">
        <is>
          <t>#</t>
        </is>
      </c>
      <c r="B21" s="272" t="n"/>
      <c r="C21" s="302" t="inlineStr">
        <is>
          <t>Cat.</t>
        </is>
      </c>
      <c r="D21" s="271" t="n"/>
      <c r="E21" s="272" t="n"/>
      <c r="F21" s="302" t="inlineStr">
        <is>
          <t>Readiness Item</t>
        </is>
      </c>
      <c r="G21" s="271" t="n"/>
      <c r="H21" s="271" t="n"/>
      <c r="I21" s="271" t="n"/>
      <c r="J21" s="271" t="n"/>
      <c r="K21" s="271" t="n"/>
      <c r="L21" s="271" t="n"/>
      <c r="M21" s="271" t="n"/>
      <c r="N21" s="271" t="n"/>
      <c r="O21" s="271" t="n"/>
      <c r="P21" s="271" t="n"/>
      <c r="Q21" s="271" t="n"/>
      <c r="R21" s="271" t="n"/>
      <c r="S21" s="272" t="n"/>
      <c r="T21" s="302" t="inlineStr">
        <is>
          <t>Acceptance / Control Rule</t>
        </is>
      </c>
      <c r="U21" s="271" t="n"/>
      <c r="V21" s="271" t="n"/>
      <c r="W21" s="271" t="n"/>
      <c r="X21" s="271" t="n"/>
      <c r="Y21" s="271" t="n"/>
      <c r="Z21" s="271" t="n"/>
      <c r="AA21" s="271" t="n"/>
      <c r="AB21" s="271" t="n"/>
      <c r="AC21" s="271" t="n"/>
      <c r="AD21" s="271" t="n"/>
      <c r="AE21" s="272" t="n"/>
      <c r="AF21" s="302" t="inlineStr">
        <is>
          <t>Result</t>
        </is>
      </c>
      <c r="AG21" s="271" t="n"/>
      <c r="AH21" s="271" t="n"/>
      <c r="AI21" s="272" t="n"/>
      <c r="AJ21" s="302" t="inlineStr">
        <is>
          <t>Owner</t>
        </is>
      </c>
      <c r="AK21" s="271" t="n"/>
      <c r="AL21" s="272" t="n"/>
      <c r="AM21" s="303" t="inlineStr">
        <is>
          <t>Ref.</t>
        </is>
      </c>
      <c r="AN21" s="274" t="n"/>
    </row>
    <row r="22" ht="20" customHeight="1">
      <c r="A22" s="304" t="n">
        <v>1</v>
      </c>
      <c r="B22" s="332" t="n"/>
      <c r="C22" s="305" t="inlineStr">
        <is>
          <t>OPS</t>
        </is>
      </c>
      <c r="D22" s="277" t="n"/>
      <c r="E22" s="278" t="n"/>
      <c r="F22" s="306" t="inlineStr">
        <is>
          <t>Released engineering baseline is available.</t>
        </is>
      </c>
      <c r="G22" s="277" t="n"/>
      <c r="H22" s="277" t="n"/>
      <c r="I22" s="277" t="n"/>
      <c r="J22" s="277" t="n"/>
      <c r="K22" s="277" t="n"/>
      <c r="L22" s="277" t="n"/>
      <c r="M22" s="277" t="n"/>
      <c r="N22" s="277" t="n"/>
      <c r="O22" s="277" t="n"/>
      <c r="P22" s="277" t="n"/>
      <c r="Q22" s="277" t="n"/>
      <c r="R22" s="277" t="n"/>
      <c r="S22" s="278" t="n"/>
      <c r="T22" s="307" t="inlineStr">
        <is>
          <t>FRM-306 / part-rev package is current.</t>
        </is>
      </c>
      <c r="U22" s="277" t="n"/>
      <c r="V22" s="277" t="n"/>
      <c r="W22" s="277" t="n"/>
      <c r="X22" s="277" t="n"/>
      <c r="Y22" s="277" t="n"/>
      <c r="Z22" s="277" t="n"/>
      <c r="AA22" s="277" t="n"/>
      <c r="AB22" s="277" t="n"/>
      <c r="AC22" s="277" t="n"/>
      <c r="AD22" s="277" t="n"/>
      <c r="AE22" s="278" t="n"/>
      <c r="AF22" s="308" t="n"/>
      <c r="AG22" s="333" t="n"/>
      <c r="AH22" s="333" t="n"/>
      <c r="AI22" s="332" t="n"/>
      <c r="AJ22" s="308" t="n"/>
      <c r="AK22" s="333" t="n"/>
      <c r="AL22" s="332" t="n"/>
      <c r="AM22" s="308" t="n"/>
      <c r="AN22" s="332" t="n"/>
    </row>
    <row r="23" ht="20" customHeight="1">
      <c r="A23" s="304" t="n">
        <v>2</v>
      </c>
      <c r="B23" s="332" t="n"/>
      <c r="C23" s="305" t="inlineStr">
        <is>
          <t>OPS</t>
        </is>
      </c>
      <c r="D23" s="277" t="n"/>
      <c r="E23" s="278" t="n"/>
      <c r="F23" s="309" t="inlineStr">
        <is>
          <t>Route / operation sequence is current.</t>
        </is>
      </c>
      <c r="G23" s="277" t="n"/>
      <c r="H23" s="277" t="n"/>
      <c r="I23" s="277" t="n"/>
      <c r="J23" s="277" t="n"/>
      <c r="K23" s="277" t="n"/>
      <c r="L23" s="277" t="n"/>
      <c r="M23" s="277" t="n"/>
      <c r="N23" s="277" t="n"/>
      <c r="O23" s="277" t="n"/>
      <c r="P23" s="277" t="n"/>
      <c r="Q23" s="277" t="n"/>
      <c r="R23" s="277" t="n"/>
      <c r="S23" s="278" t="n"/>
      <c r="T23" s="307" t="inlineStr">
        <is>
          <t>Released route and operation step exist.</t>
        </is>
      </c>
      <c r="U23" s="277" t="n"/>
      <c r="V23" s="277" t="n"/>
      <c r="W23" s="277" t="n"/>
      <c r="X23" s="277" t="n"/>
      <c r="Y23" s="277" t="n"/>
      <c r="Z23" s="277" t="n"/>
      <c r="AA23" s="277" t="n"/>
      <c r="AB23" s="277" t="n"/>
      <c r="AC23" s="277" t="n"/>
      <c r="AD23" s="277" t="n"/>
      <c r="AE23" s="278" t="n"/>
      <c r="AF23" s="308" t="n"/>
      <c r="AG23" s="333" t="n"/>
      <c r="AH23" s="333" t="n"/>
      <c r="AI23" s="332" t="n"/>
      <c r="AJ23" s="308" t="n"/>
      <c r="AK23" s="333" t="n"/>
      <c r="AL23" s="332" t="n"/>
      <c r="AM23" s="308" t="n"/>
      <c r="AN23" s="332" t="n"/>
    </row>
    <row r="24" ht="20" customHeight="1">
      <c r="A24" s="304" t="n">
        <v>3</v>
      </c>
      <c r="B24" s="332" t="n"/>
      <c r="C24" s="310" t="inlineStr">
        <is>
          <t>CAP</t>
        </is>
      </c>
      <c r="D24" s="277" t="n"/>
      <c r="E24" s="278" t="n"/>
      <c r="F24" s="306" t="inlineStr">
        <is>
          <t>Capacity slot / machine family is feasible.</t>
        </is>
      </c>
      <c r="G24" s="277" t="n"/>
      <c r="H24" s="277" t="n"/>
      <c r="I24" s="277" t="n"/>
      <c r="J24" s="277" t="n"/>
      <c r="K24" s="277" t="n"/>
      <c r="L24" s="277" t="n"/>
      <c r="M24" s="277" t="n"/>
      <c r="N24" s="277" t="n"/>
      <c r="O24" s="277" t="n"/>
      <c r="P24" s="277" t="n"/>
      <c r="Q24" s="277" t="n"/>
      <c r="R24" s="277" t="n"/>
      <c r="S24" s="278" t="n"/>
      <c r="T24" s="307" t="inlineStr">
        <is>
          <t>Required resource is identified and available.</t>
        </is>
      </c>
      <c r="U24" s="277" t="n"/>
      <c r="V24" s="277" t="n"/>
      <c r="W24" s="277" t="n"/>
      <c r="X24" s="277" t="n"/>
      <c r="Y24" s="277" t="n"/>
      <c r="Z24" s="277" t="n"/>
      <c r="AA24" s="277" t="n"/>
      <c r="AB24" s="277" t="n"/>
      <c r="AC24" s="277" t="n"/>
      <c r="AD24" s="277" t="n"/>
      <c r="AE24" s="278" t="n"/>
      <c r="AF24" s="308" t="n"/>
      <c r="AG24" s="333" t="n"/>
      <c r="AH24" s="333" t="n"/>
      <c r="AI24" s="332" t="n"/>
      <c r="AJ24" s="308" t="n"/>
      <c r="AK24" s="333" t="n"/>
      <c r="AL24" s="332" t="n"/>
      <c r="AM24" s="308" t="n"/>
      <c r="AN24" s="332" t="n"/>
    </row>
    <row r="25" ht="20" customHeight="1">
      <c r="A25" s="304" t="n">
        <v>4</v>
      </c>
      <c r="B25" s="332" t="n"/>
      <c r="C25" s="310" t="inlineStr">
        <is>
          <t>CAP</t>
        </is>
      </c>
      <c r="D25" s="277" t="n"/>
      <c r="E25" s="278" t="n"/>
      <c r="F25" s="309" t="inlineStr">
        <is>
          <t>Material / outside-process readiness is known.</t>
        </is>
      </c>
      <c r="G25" s="277" t="n"/>
      <c r="H25" s="277" t="n"/>
      <c r="I25" s="277" t="n"/>
      <c r="J25" s="277" t="n"/>
      <c r="K25" s="277" t="n"/>
      <c r="L25" s="277" t="n"/>
      <c r="M25" s="277" t="n"/>
      <c r="N25" s="277" t="n"/>
      <c r="O25" s="277" t="n"/>
      <c r="P25" s="277" t="n"/>
      <c r="Q25" s="277" t="n"/>
      <c r="R25" s="277" t="n"/>
      <c r="S25" s="278" t="n"/>
      <c r="T25" s="307" t="inlineStr">
        <is>
          <t>Material and outsource path are not assumed.</t>
        </is>
      </c>
      <c r="U25" s="277" t="n"/>
      <c r="V25" s="277" t="n"/>
      <c r="W25" s="277" t="n"/>
      <c r="X25" s="277" t="n"/>
      <c r="Y25" s="277" t="n"/>
      <c r="Z25" s="277" t="n"/>
      <c r="AA25" s="277" t="n"/>
      <c r="AB25" s="277" t="n"/>
      <c r="AC25" s="277" t="n"/>
      <c r="AD25" s="277" t="n"/>
      <c r="AE25" s="278" t="n"/>
      <c r="AF25" s="308" t="n"/>
      <c r="AG25" s="333" t="n"/>
      <c r="AH25" s="333" t="n"/>
      <c r="AI25" s="332" t="n"/>
      <c r="AJ25" s="308" t="n"/>
      <c r="AK25" s="333" t="n"/>
      <c r="AL25" s="332" t="n"/>
      <c r="AM25" s="308" t="n"/>
      <c r="AN25" s="332" t="n"/>
    </row>
    <row r="26" ht="20" customHeight="1">
      <c r="A26" s="304" t="n">
        <v>5</v>
      </c>
      <c r="B26" s="332" t="n"/>
      <c r="C26" s="305" t="inlineStr">
        <is>
          <t>OPS</t>
        </is>
      </c>
      <c r="D26" s="277" t="n"/>
      <c r="E26" s="278" t="n"/>
      <c r="F26" s="306" t="inlineStr">
        <is>
          <t>Tooling / setup baseline is available.</t>
        </is>
      </c>
      <c r="G26" s="277" t="n"/>
      <c r="H26" s="277" t="n"/>
      <c r="I26" s="277" t="n"/>
      <c r="J26" s="277" t="n"/>
      <c r="K26" s="277" t="n"/>
      <c r="L26" s="277" t="n"/>
      <c r="M26" s="277" t="n"/>
      <c r="N26" s="277" t="n"/>
      <c r="O26" s="277" t="n"/>
      <c r="P26" s="277" t="n"/>
      <c r="Q26" s="277" t="n"/>
      <c r="R26" s="277" t="n"/>
      <c r="S26" s="278" t="n"/>
      <c r="T26" s="307" t="inlineStr">
        <is>
          <t>FRM-302 or equivalent baseline is linked.</t>
        </is>
      </c>
      <c r="U26" s="277" t="n"/>
      <c r="V26" s="277" t="n"/>
      <c r="W26" s="277" t="n"/>
      <c r="X26" s="277" t="n"/>
      <c r="Y26" s="277" t="n"/>
      <c r="Z26" s="277" t="n"/>
      <c r="AA26" s="277" t="n"/>
      <c r="AB26" s="277" t="n"/>
      <c r="AC26" s="277" t="n"/>
      <c r="AD26" s="277" t="n"/>
      <c r="AE26" s="278" t="n"/>
      <c r="AF26" s="308" t="n"/>
      <c r="AG26" s="333" t="n"/>
      <c r="AH26" s="333" t="n"/>
      <c r="AI26" s="332" t="n"/>
      <c r="AJ26" s="308" t="n"/>
      <c r="AK26" s="333" t="n"/>
      <c r="AL26" s="332" t="n"/>
      <c r="AM26" s="308" t="n"/>
      <c r="AN26" s="332" t="n"/>
    </row>
    <row r="27" ht="20" customHeight="1">
      <c r="A27" s="304" t="n">
        <v>6</v>
      </c>
      <c r="B27" s="332" t="n"/>
      <c r="C27" s="311" t="inlineStr">
        <is>
          <t>QUA</t>
        </is>
      </c>
      <c r="D27" s="277" t="n"/>
      <c r="E27" s="278" t="n"/>
      <c r="F27" s="309" t="inlineStr">
        <is>
          <t>Inspection / quality gate requirements are visible.</t>
        </is>
      </c>
      <c r="G27" s="277" t="n"/>
      <c r="H27" s="277" t="n"/>
      <c r="I27" s="277" t="n"/>
      <c r="J27" s="277" t="n"/>
      <c r="K27" s="277" t="n"/>
      <c r="L27" s="277" t="n"/>
      <c r="M27" s="277" t="n"/>
      <c r="N27" s="277" t="n"/>
      <c r="O27" s="277" t="n"/>
      <c r="P27" s="277" t="n"/>
      <c r="Q27" s="277" t="n"/>
      <c r="R27" s="277" t="n"/>
      <c r="S27" s="278" t="n"/>
      <c r="T27" s="307" t="inlineStr">
        <is>
          <t>Required control plan or quality package is known.</t>
        </is>
      </c>
      <c r="U27" s="277" t="n"/>
      <c r="V27" s="277" t="n"/>
      <c r="W27" s="277" t="n"/>
      <c r="X27" s="277" t="n"/>
      <c r="Y27" s="277" t="n"/>
      <c r="Z27" s="277" t="n"/>
      <c r="AA27" s="277" t="n"/>
      <c r="AB27" s="277" t="n"/>
      <c r="AC27" s="277" t="n"/>
      <c r="AD27" s="277" t="n"/>
      <c r="AE27" s="278" t="n"/>
      <c r="AF27" s="308" t="n"/>
      <c r="AG27" s="333" t="n"/>
      <c r="AH27" s="333" t="n"/>
      <c r="AI27" s="332" t="n"/>
      <c r="AJ27" s="308" t="n"/>
      <c r="AK27" s="333" t="n"/>
      <c r="AL27" s="332" t="n"/>
      <c r="AM27" s="308" t="n"/>
      <c r="AN27" s="332" t="n"/>
    </row>
    <row r="28" ht="20" customHeight="1">
      <c r="A28" s="304" t="n">
        <v>7</v>
      </c>
      <c r="B28" s="332" t="n"/>
      <c r="C28" s="312" t="inlineStr">
        <is>
          <t>CON</t>
        </is>
      </c>
      <c r="D28" s="277" t="n"/>
      <c r="E28" s="278" t="n"/>
      <c r="F28" s="306" t="inlineStr">
        <is>
          <t>Dispatch / ship priority is explicit.</t>
        </is>
      </c>
      <c r="G28" s="277" t="n"/>
      <c r="H28" s="277" t="n"/>
      <c r="I28" s="277" t="n"/>
      <c r="J28" s="277" t="n"/>
      <c r="K28" s="277" t="n"/>
      <c r="L28" s="277" t="n"/>
      <c r="M28" s="277" t="n"/>
      <c r="N28" s="277" t="n"/>
      <c r="O28" s="277" t="n"/>
      <c r="P28" s="277" t="n"/>
      <c r="Q28" s="277" t="n"/>
      <c r="R28" s="277" t="n"/>
      <c r="S28" s="278" t="n"/>
      <c r="T28" s="307" t="inlineStr">
        <is>
          <t>Priority and due-date commitment are visible.</t>
        </is>
      </c>
      <c r="U28" s="277" t="n"/>
      <c r="V28" s="277" t="n"/>
      <c r="W28" s="277" t="n"/>
      <c r="X28" s="277" t="n"/>
      <c r="Y28" s="277" t="n"/>
      <c r="Z28" s="277" t="n"/>
      <c r="AA28" s="277" t="n"/>
      <c r="AB28" s="277" t="n"/>
      <c r="AC28" s="277" t="n"/>
      <c r="AD28" s="277" t="n"/>
      <c r="AE28" s="278" t="n"/>
      <c r="AF28" s="308" t="n"/>
      <c r="AG28" s="333" t="n"/>
      <c r="AH28" s="333" t="n"/>
      <c r="AI28" s="332" t="n"/>
      <c r="AJ28" s="308" t="n"/>
      <c r="AK28" s="333" t="n"/>
      <c r="AL28" s="332" t="n"/>
      <c r="AM28" s="308" t="n"/>
      <c r="AN28" s="332" t="n"/>
    </row>
    <row r="29" ht="20" customHeight="1">
      <c r="A29" s="304" t="n">
        <v>8</v>
      </c>
      <c r="B29" s="332" t="n"/>
      <c r="C29" s="312" t="inlineStr">
        <is>
          <t>CON</t>
        </is>
      </c>
      <c r="D29" s="277" t="n"/>
      <c r="E29" s="278" t="n"/>
      <c r="F29" s="309" t="inlineStr">
        <is>
          <t>Open blockers have owners and due dates.</t>
        </is>
      </c>
      <c r="G29" s="277" t="n"/>
      <c r="H29" s="277" t="n"/>
      <c r="I29" s="277" t="n"/>
      <c r="J29" s="277" t="n"/>
      <c r="K29" s="277" t="n"/>
      <c r="L29" s="277" t="n"/>
      <c r="M29" s="277" t="n"/>
      <c r="N29" s="277" t="n"/>
      <c r="O29" s="277" t="n"/>
      <c r="P29" s="277" t="n"/>
      <c r="Q29" s="277" t="n"/>
      <c r="R29" s="277" t="n"/>
      <c r="S29" s="278" t="n"/>
      <c r="T29" s="307" t="inlineStr">
        <is>
          <t>No unowned blocker remains before release.</t>
        </is>
      </c>
      <c r="U29" s="277" t="n"/>
      <c r="V29" s="277" t="n"/>
      <c r="W29" s="277" t="n"/>
      <c r="X29" s="277" t="n"/>
      <c r="Y29" s="277" t="n"/>
      <c r="Z29" s="277" t="n"/>
      <c r="AA29" s="277" t="n"/>
      <c r="AB29" s="277" t="n"/>
      <c r="AC29" s="277" t="n"/>
      <c r="AD29" s="277" t="n"/>
      <c r="AE29" s="278" t="n"/>
      <c r="AF29" s="308" t="n"/>
      <c r="AG29" s="333" t="n"/>
      <c r="AH29" s="333" t="n"/>
      <c r="AI29" s="332" t="n"/>
      <c r="AJ29" s="308" t="n"/>
      <c r="AK29" s="333" t="n"/>
      <c r="AL29" s="332" t="n"/>
      <c r="AM29" s="308" t="n"/>
      <c r="AN29" s="332" t="n"/>
    </row>
    <row r="30" ht="20" customHeight="1">
      <c r="A30" s="304" t="n">
        <v>9</v>
      </c>
      <c r="B30" s="332" t="n"/>
      <c r="C30" s="313" t="inlineStr">
        <is>
          <t>DOC</t>
        </is>
      </c>
      <c r="D30" s="277" t="n"/>
      <c r="E30" s="278" t="n"/>
      <c r="F30" s="306" t="inlineStr">
        <is>
          <t>Evidence path for release memory exists.</t>
        </is>
      </c>
      <c r="G30" s="277" t="n"/>
      <c r="H30" s="277" t="n"/>
      <c r="I30" s="277" t="n"/>
      <c r="J30" s="277" t="n"/>
      <c r="K30" s="277" t="n"/>
      <c r="L30" s="277" t="n"/>
      <c r="M30" s="277" t="n"/>
      <c r="N30" s="277" t="n"/>
      <c r="O30" s="277" t="n"/>
      <c r="P30" s="277" t="n"/>
      <c r="Q30" s="277" t="n"/>
      <c r="R30" s="277" t="n"/>
      <c r="S30" s="278" t="n"/>
      <c r="T30" s="307" t="inlineStr">
        <is>
          <t>Planning-release evidence can be reconstructed.</t>
        </is>
      </c>
      <c r="U30" s="277" t="n"/>
      <c r="V30" s="277" t="n"/>
      <c r="W30" s="277" t="n"/>
      <c r="X30" s="277" t="n"/>
      <c r="Y30" s="277" t="n"/>
      <c r="Z30" s="277" t="n"/>
      <c r="AA30" s="277" t="n"/>
      <c r="AB30" s="277" t="n"/>
      <c r="AC30" s="277" t="n"/>
      <c r="AD30" s="277" t="n"/>
      <c r="AE30" s="278" t="n"/>
      <c r="AF30" s="308" t="n"/>
      <c r="AG30" s="333" t="n"/>
      <c r="AH30" s="333" t="n"/>
      <c r="AI30" s="332" t="n"/>
      <c r="AJ30" s="308" t="n"/>
      <c r="AK30" s="333" t="n"/>
      <c r="AL30" s="332" t="n"/>
      <c r="AM30" s="308" t="n"/>
      <c r="AN30" s="332" t="n"/>
    </row>
    <row r="31" ht="20" customHeight="1">
      <c r="A31" s="304" t="n">
        <v>10</v>
      </c>
      <c r="B31" s="332" t="n"/>
      <c r="C31" s="314" t="inlineStr">
        <is>
          <t>REL</t>
        </is>
      </c>
      <c r="D31" s="283" t="n"/>
      <c r="E31" s="285" t="n"/>
      <c r="F31" s="315" t="inlineStr">
        <is>
          <t>Release authority is explicit.</t>
        </is>
      </c>
      <c r="G31" s="283" t="n"/>
      <c r="H31" s="283" t="n"/>
      <c r="I31" s="283" t="n"/>
      <c r="J31" s="283" t="n"/>
      <c r="K31" s="283" t="n"/>
      <c r="L31" s="283" t="n"/>
      <c r="M31" s="283" t="n"/>
      <c r="N31" s="283" t="n"/>
      <c r="O31" s="283" t="n"/>
      <c r="P31" s="283" t="n"/>
      <c r="Q31" s="283" t="n"/>
      <c r="R31" s="283" t="n"/>
      <c r="S31" s="285" t="n"/>
      <c r="T31" s="316" t="inlineStr">
        <is>
          <t>Final disposition matches planning authority.</t>
        </is>
      </c>
      <c r="U31" s="283" t="n"/>
      <c r="V31" s="283" t="n"/>
      <c r="W31" s="283" t="n"/>
      <c r="X31" s="283" t="n"/>
      <c r="Y31" s="283" t="n"/>
      <c r="Z31" s="283" t="n"/>
      <c r="AA31" s="283" t="n"/>
      <c r="AB31" s="283" t="n"/>
      <c r="AC31" s="283" t="n"/>
      <c r="AD31" s="283" t="n"/>
      <c r="AE31" s="285" t="n"/>
      <c r="AF31" s="308" t="n"/>
      <c r="AG31" s="333" t="n"/>
      <c r="AH31" s="333" t="n"/>
      <c r="AI31" s="332" t="n"/>
      <c r="AJ31" s="308" t="n"/>
      <c r="AK31" s="333" t="n"/>
      <c r="AL31" s="332" t="n"/>
      <c r="AM31" s="308" t="n"/>
      <c r="AN31" s="332" t="n"/>
    </row>
    <row r="32" ht="4" customHeight="1">
      <c r="A32" s="25" t="n"/>
    </row>
    <row r="33" ht="17" customHeight="1">
      <c r="A33" s="288" t="inlineStr">
        <is>
          <t>4.  BLOCKERS / ACTION TRACKER</t>
        </is>
      </c>
      <c r="B33" s="289" t="n"/>
      <c r="C33" s="289" t="n"/>
      <c r="D33" s="289" t="n"/>
      <c r="E33" s="289" t="n"/>
      <c r="F33" s="289" t="n"/>
      <c r="G33" s="289" t="n"/>
      <c r="H33" s="289" t="n"/>
      <c r="I33" s="289" t="n"/>
      <c r="J33" s="289" t="n"/>
      <c r="K33" s="289" t="n"/>
      <c r="L33" s="289" t="n"/>
      <c r="M33" s="289" t="n"/>
      <c r="N33" s="289" t="n"/>
      <c r="O33" s="289" t="n"/>
      <c r="P33" s="289" t="n"/>
      <c r="Q33" s="289" t="n"/>
      <c r="R33" s="289" t="n"/>
      <c r="S33" s="289" t="n"/>
      <c r="T33" s="289" t="n"/>
      <c r="U33" s="289" t="n"/>
      <c r="V33" s="289" t="n"/>
      <c r="W33" s="289" t="n"/>
      <c r="X33" s="289" t="n"/>
      <c r="Y33" s="289" t="n"/>
      <c r="Z33" s="289" t="n"/>
      <c r="AA33" s="289" t="n"/>
      <c r="AB33" s="289" t="n"/>
      <c r="AC33" s="289" t="n"/>
      <c r="AD33" s="289" t="n"/>
      <c r="AE33" s="289" t="n"/>
      <c r="AF33" s="289" t="n"/>
      <c r="AG33" s="289" t="n"/>
      <c r="AH33" s="289" t="n"/>
      <c r="AI33" s="289" t="n"/>
      <c r="AJ33" s="289" t="n"/>
      <c r="AK33" s="289" t="n"/>
      <c r="AL33" s="289" t="n"/>
      <c r="AM33" s="289" t="n"/>
      <c r="AN33" s="290" t="n"/>
    </row>
    <row r="34" ht="17" customHeight="1">
      <c r="A34" s="301" t="inlineStr">
        <is>
          <t>#</t>
        </is>
      </c>
      <c r="B34" s="272" t="n"/>
      <c r="C34" s="302" t="inlineStr">
        <is>
          <t>Blocker / Open Condition</t>
        </is>
      </c>
      <c r="D34" s="271" t="n"/>
      <c r="E34" s="271" t="n"/>
      <c r="F34" s="271" t="n"/>
      <c r="G34" s="271" t="n"/>
      <c r="H34" s="271" t="n"/>
      <c r="I34" s="271" t="n"/>
      <c r="J34" s="271" t="n"/>
      <c r="K34" s="271" t="n"/>
      <c r="L34" s="272" t="n"/>
      <c r="M34" s="302" t="inlineStr">
        <is>
          <t>Required Action</t>
        </is>
      </c>
      <c r="N34" s="271" t="n"/>
      <c r="O34" s="271" t="n"/>
      <c r="P34" s="271" t="n"/>
      <c r="Q34" s="271" t="n"/>
      <c r="R34" s="271" t="n"/>
      <c r="S34" s="271" t="n"/>
      <c r="T34" s="271" t="n"/>
      <c r="U34" s="271" t="n"/>
      <c r="V34" s="271" t="n"/>
      <c r="W34" s="271" t="n"/>
      <c r="X34" s="272" t="n"/>
      <c r="Y34" s="302" t="inlineStr">
        <is>
          <t>Owner</t>
        </is>
      </c>
      <c r="Z34" s="271" t="n"/>
      <c r="AA34" s="271" t="n"/>
      <c r="AB34" s="271" t="n"/>
      <c r="AC34" s="272" t="n"/>
      <c r="AD34" s="302" t="inlineStr">
        <is>
          <t>Due Date</t>
        </is>
      </c>
      <c r="AE34" s="271" t="n"/>
      <c r="AF34" s="271" t="n"/>
      <c r="AG34" s="271" t="n"/>
      <c r="AH34" s="272" t="n"/>
      <c r="AI34" s="302" t="inlineStr">
        <is>
          <t>Status</t>
        </is>
      </c>
      <c r="AJ34" s="271" t="n"/>
      <c r="AK34" s="272" t="n"/>
      <c r="AL34" s="303" t="inlineStr">
        <is>
          <t>Verified by</t>
        </is>
      </c>
      <c r="AM34" s="271" t="n"/>
      <c r="AN34" s="274" t="n"/>
    </row>
    <row r="35" ht="20" customHeight="1">
      <c r="A35" s="317" t="n">
        <v>1</v>
      </c>
      <c r="B35" s="278" t="n"/>
      <c r="C35" s="308" t="n"/>
      <c r="D35" s="333" t="n"/>
      <c r="E35" s="333" t="n"/>
      <c r="F35" s="333" t="n"/>
      <c r="G35" s="333" t="n"/>
      <c r="H35" s="333" t="n"/>
      <c r="I35" s="333" t="n"/>
      <c r="J35" s="333" t="n"/>
      <c r="K35" s="333" t="n"/>
      <c r="L35" s="332" t="n"/>
      <c r="M35" s="308" t="n"/>
      <c r="N35" s="333" t="n"/>
      <c r="O35" s="333" t="n"/>
      <c r="P35" s="333" t="n"/>
      <c r="Q35" s="333" t="n"/>
      <c r="R35" s="333" t="n"/>
      <c r="S35" s="333" t="n"/>
      <c r="T35" s="333" t="n"/>
      <c r="U35" s="333" t="n"/>
      <c r="V35" s="333" t="n"/>
      <c r="W35" s="333" t="n"/>
      <c r="X35" s="332" t="n"/>
      <c r="Y35" s="308" t="n"/>
      <c r="Z35" s="333" t="n"/>
      <c r="AA35" s="333" t="n"/>
      <c r="AB35" s="333" t="n"/>
      <c r="AC35" s="332" t="n"/>
      <c r="AD35" s="308" t="n"/>
      <c r="AE35" s="333" t="n"/>
      <c r="AF35" s="333" t="n"/>
      <c r="AG35" s="333" t="n"/>
      <c r="AH35" s="332" t="n"/>
      <c r="AI35" s="308" t="n"/>
      <c r="AJ35" s="333" t="n"/>
      <c r="AK35" s="332" t="n"/>
      <c r="AL35" s="308" t="n"/>
      <c r="AM35" s="333" t="n"/>
      <c r="AN35" s="332" t="n"/>
    </row>
    <row r="36" ht="20" customHeight="1">
      <c r="A36" s="317" t="n">
        <v>2</v>
      </c>
      <c r="B36" s="278" t="n"/>
      <c r="C36" s="308" t="n"/>
      <c r="D36" s="333" t="n"/>
      <c r="E36" s="333" t="n"/>
      <c r="F36" s="333" t="n"/>
      <c r="G36" s="333" t="n"/>
      <c r="H36" s="333" t="n"/>
      <c r="I36" s="333" t="n"/>
      <c r="J36" s="333" t="n"/>
      <c r="K36" s="333" t="n"/>
      <c r="L36" s="332" t="n"/>
      <c r="M36" s="308" t="n"/>
      <c r="N36" s="333" t="n"/>
      <c r="O36" s="333" t="n"/>
      <c r="P36" s="333" t="n"/>
      <c r="Q36" s="333" t="n"/>
      <c r="R36" s="333" t="n"/>
      <c r="S36" s="333" t="n"/>
      <c r="T36" s="333" t="n"/>
      <c r="U36" s="333" t="n"/>
      <c r="V36" s="333" t="n"/>
      <c r="W36" s="333" t="n"/>
      <c r="X36" s="332" t="n"/>
      <c r="Y36" s="308" t="n"/>
      <c r="Z36" s="333" t="n"/>
      <c r="AA36" s="333" t="n"/>
      <c r="AB36" s="333" t="n"/>
      <c r="AC36" s="332" t="n"/>
      <c r="AD36" s="308" t="n"/>
      <c r="AE36" s="333" t="n"/>
      <c r="AF36" s="333" t="n"/>
      <c r="AG36" s="333" t="n"/>
      <c r="AH36" s="332" t="n"/>
      <c r="AI36" s="308" t="n"/>
      <c r="AJ36" s="333" t="n"/>
      <c r="AK36" s="332" t="n"/>
      <c r="AL36" s="308" t="n"/>
      <c r="AM36" s="333" t="n"/>
      <c r="AN36" s="332" t="n"/>
    </row>
    <row r="37" ht="20" customHeight="1">
      <c r="A37" s="317" t="n">
        <v>3</v>
      </c>
      <c r="B37" s="278" t="n"/>
      <c r="C37" s="308" t="n"/>
      <c r="D37" s="333" t="n"/>
      <c r="E37" s="333" t="n"/>
      <c r="F37" s="333" t="n"/>
      <c r="G37" s="333" t="n"/>
      <c r="H37" s="333" t="n"/>
      <c r="I37" s="333" t="n"/>
      <c r="J37" s="333" t="n"/>
      <c r="K37" s="333" t="n"/>
      <c r="L37" s="332" t="n"/>
      <c r="M37" s="308" t="n"/>
      <c r="N37" s="333" t="n"/>
      <c r="O37" s="333" t="n"/>
      <c r="P37" s="333" t="n"/>
      <c r="Q37" s="333" t="n"/>
      <c r="R37" s="333" t="n"/>
      <c r="S37" s="333" t="n"/>
      <c r="T37" s="333" t="n"/>
      <c r="U37" s="333" t="n"/>
      <c r="V37" s="333" t="n"/>
      <c r="W37" s="333" t="n"/>
      <c r="X37" s="332" t="n"/>
      <c r="Y37" s="308" t="n"/>
      <c r="Z37" s="333" t="n"/>
      <c r="AA37" s="333" t="n"/>
      <c r="AB37" s="333" t="n"/>
      <c r="AC37" s="332" t="n"/>
      <c r="AD37" s="308" t="n"/>
      <c r="AE37" s="333" t="n"/>
      <c r="AF37" s="333" t="n"/>
      <c r="AG37" s="333" t="n"/>
      <c r="AH37" s="332" t="n"/>
      <c r="AI37" s="308" t="n"/>
      <c r="AJ37" s="333" t="n"/>
      <c r="AK37" s="332" t="n"/>
      <c r="AL37" s="308" t="n"/>
      <c r="AM37" s="333" t="n"/>
      <c r="AN37" s="332" t="n"/>
    </row>
    <row r="38" ht="20" customHeight="1">
      <c r="A38" s="317" t="n">
        <v>4</v>
      </c>
      <c r="B38" s="278" t="n"/>
      <c r="C38" s="308" t="n"/>
      <c r="D38" s="333" t="n"/>
      <c r="E38" s="333" t="n"/>
      <c r="F38" s="333" t="n"/>
      <c r="G38" s="333" t="n"/>
      <c r="H38" s="333" t="n"/>
      <c r="I38" s="333" t="n"/>
      <c r="J38" s="333" t="n"/>
      <c r="K38" s="333" t="n"/>
      <c r="L38" s="332" t="n"/>
      <c r="M38" s="308" t="n"/>
      <c r="N38" s="333" t="n"/>
      <c r="O38" s="333" t="n"/>
      <c r="P38" s="333" t="n"/>
      <c r="Q38" s="333" t="n"/>
      <c r="R38" s="333" t="n"/>
      <c r="S38" s="333" t="n"/>
      <c r="T38" s="333" t="n"/>
      <c r="U38" s="333" t="n"/>
      <c r="V38" s="333" t="n"/>
      <c r="W38" s="333" t="n"/>
      <c r="X38" s="332" t="n"/>
      <c r="Y38" s="308" t="n"/>
      <c r="Z38" s="333" t="n"/>
      <c r="AA38" s="333" t="n"/>
      <c r="AB38" s="333" t="n"/>
      <c r="AC38" s="332" t="n"/>
      <c r="AD38" s="308" t="n"/>
      <c r="AE38" s="333" t="n"/>
      <c r="AF38" s="333" t="n"/>
      <c r="AG38" s="333" t="n"/>
      <c r="AH38" s="332" t="n"/>
      <c r="AI38" s="308" t="n"/>
      <c r="AJ38" s="333" t="n"/>
      <c r="AK38" s="332" t="n"/>
      <c r="AL38" s="308" t="n"/>
      <c r="AM38" s="333" t="n"/>
      <c r="AN38" s="332" t="n"/>
    </row>
    <row r="39" ht="20" customHeight="1">
      <c r="A39" s="318" t="n">
        <v>5</v>
      </c>
      <c r="B39" s="285" t="n"/>
      <c r="C39" s="308" t="n"/>
      <c r="D39" s="333" t="n"/>
      <c r="E39" s="333" t="n"/>
      <c r="F39" s="333" t="n"/>
      <c r="G39" s="333" t="n"/>
      <c r="H39" s="333" t="n"/>
      <c r="I39" s="333" t="n"/>
      <c r="J39" s="333" t="n"/>
      <c r="K39" s="333" t="n"/>
      <c r="L39" s="332" t="n"/>
      <c r="M39" s="308" t="n"/>
      <c r="N39" s="333" t="n"/>
      <c r="O39" s="333" t="n"/>
      <c r="P39" s="333" t="n"/>
      <c r="Q39" s="333" t="n"/>
      <c r="R39" s="333" t="n"/>
      <c r="S39" s="333" t="n"/>
      <c r="T39" s="333" t="n"/>
      <c r="U39" s="333" t="n"/>
      <c r="V39" s="333" t="n"/>
      <c r="W39" s="333" t="n"/>
      <c r="X39" s="332" t="n"/>
      <c r="Y39" s="308" t="n"/>
      <c r="Z39" s="333" t="n"/>
      <c r="AA39" s="333" t="n"/>
      <c r="AB39" s="333" t="n"/>
      <c r="AC39" s="332" t="n"/>
      <c r="AD39" s="308" t="n"/>
      <c r="AE39" s="333" t="n"/>
      <c r="AF39" s="333" t="n"/>
      <c r="AG39" s="333" t="n"/>
      <c r="AH39" s="332" t="n"/>
      <c r="AI39" s="308" t="n"/>
      <c r="AJ39" s="333" t="n"/>
      <c r="AK39" s="332" t="n"/>
      <c r="AL39" s="308" t="n"/>
      <c r="AM39" s="333" t="n"/>
      <c r="AN39" s="332" t="n"/>
    </row>
    <row r="40" ht="4" customHeight="1">
      <c r="A40" s="25" t="n"/>
    </row>
    <row r="41" ht="17" customHeight="1">
      <c r="A41" s="288" t="inlineStr">
        <is>
          <t>5.  APPROVAL / SIGN-OFF</t>
        </is>
      </c>
      <c r="B41" s="289" t="n"/>
      <c r="C41" s="289" t="n"/>
      <c r="D41" s="289" t="n"/>
      <c r="E41" s="289" t="n"/>
      <c r="F41" s="289" t="n"/>
      <c r="G41" s="289" t="n"/>
      <c r="H41" s="289" t="n"/>
      <c r="I41" s="289" t="n"/>
      <c r="J41" s="289" t="n"/>
      <c r="K41" s="289" t="n"/>
      <c r="L41" s="289" t="n"/>
      <c r="M41" s="289" t="n"/>
      <c r="N41" s="289" t="n"/>
      <c r="O41" s="289" t="n"/>
      <c r="P41" s="289" t="n"/>
      <c r="Q41" s="289" t="n"/>
      <c r="R41" s="289" t="n"/>
      <c r="S41" s="289" t="n"/>
      <c r="T41" s="289" t="n"/>
      <c r="U41" s="289" t="n"/>
      <c r="V41" s="289" t="n"/>
      <c r="W41" s="289" t="n"/>
      <c r="X41" s="289" t="n"/>
      <c r="Y41" s="289" t="n"/>
      <c r="Z41" s="289" t="n"/>
      <c r="AA41" s="289" t="n"/>
      <c r="AB41" s="289" t="n"/>
      <c r="AC41" s="289" t="n"/>
      <c r="AD41" s="289" t="n"/>
      <c r="AE41" s="289" t="n"/>
      <c r="AF41" s="289" t="n"/>
      <c r="AG41" s="289" t="n"/>
      <c r="AH41" s="289" t="n"/>
      <c r="AI41" s="289" t="n"/>
      <c r="AJ41" s="289" t="n"/>
      <c r="AK41" s="289" t="n"/>
      <c r="AL41" s="289" t="n"/>
      <c r="AM41" s="289" t="n"/>
      <c r="AN41" s="290" t="n"/>
    </row>
    <row r="42" ht="17" customHeight="1">
      <c r="A42" s="319" t="inlineStr">
        <is>
          <t>Prepared by</t>
        </is>
      </c>
      <c r="B42" s="289" t="n"/>
      <c r="C42" s="289" t="n"/>
      <c r="D42" s="289" t="n"/>
      <c r="E42" s="289" t="n"/>
      <c r="F42" s="289" t="n"/>
      <c r="G42" s="289" t="n"/>
      <c r="H42" s="289" t="n"/>
      <c r="I42" s="289" t="n"/>
      <c r="J42" s="289" t="n"/>
      <c r="K42" s="289" t="n"/>
      <c r="L42" s="289" t="n"/>
      <c r="M42" s="289" t="n"/>
      <c r="N42" s="320" t="inlineStr">
        <is>
          <t>Reviewed by</t>
        </is>
      </c>
      <c r="O42" s="289" t="n"/>
      <c r="P42" s="289" t="n"/>
      <c r="Q42" s="289" t="n"/>
      <c r="R42" s="289" t="n"/>
      <c r="S42" s="289" t="n"/>
      <c r="T42" s="289" t="n"/>
      <c r="U42" s="289" t="n"/>
      <c r="V42" s="289" t="n"/>
      <c r="W42" s="289" t="n"/>
      <c r="X42" s="289" t="n"/>
      <c r="Y42" s="289" t="n"/>
      <c r="Z42" s="289" t="n"/>
      <c r="AA42" s="321" t="inlineStr">
        <is>
          <t>Approved by</t>
        </is>
      </c>
      <c r="AB42" s="289" t="n"/>
      <c r="AC42" s="289" t="n"/>
      <c r="AD42" s="289" t="n"/>
      <c r="AE42" s="289" t="n"/>
      <c r="AF42" s="289" t="n"/>
      <c r="AG42" s="289" t="n"/>
      <c r="AH42" s="289" t="n"/>
      <c r="AI42" s="289" t="n"/>
      <c r="AJ42" s="289" t="n"/>
      <c r="AK42" s="289" t="n"/>
      <c r="AL42" s="289" t="n"/>
      <c r="AM42" s="289" t="n"/>
      <c r="AN42" s="290" t="n"/>
    </row>
    <row r="43" ht="26" customHeight="1">
      <c r="A43" s="322" t="inlineStr">
        <is>
          <t>Name  /  Signature  /  Date</t>
        </is>
      </c>
      <c r="B43" s="268" t="n"/>
      <c r="C43" s="268" t="n"/>
      <c r="D43" s="268" t="n"/>
      <c r="E43" s="268" t="n"/>
      <c r="F43" s="268" t="n"/>
      <c r="G43" s="268" t="n"/>
      <c r="H43" s="268" t="n"/>
      <c r="I43" s="268" t="n"/>
      <c r="J43" s="268" t="n"/>
      <c r="K43" s="268" t="n"/>
      <c r="L43" s="268" t="n"/>
      <c r="M43" s="323" t="n"/>
      <c r="N43" s="322" t="inlineStr">
        <is>
          <t>Name  /  Signature  /  Date</t>
        </is>
      </c>
      <c r="O43" s="268" t="n"/>
      <c r="P43" s="268" t="n"/>
      <c r="Q43" s="268" t="n"/>
      <c r="R43" s="268" t="n"/>
      <c r="S43" s="268" t="n"/>
      <c r="T43" s="268" t="n"/>
      <c r="U43" s="268" t="n"/>
      <c r="V43" s="268" t="n"/>
      <c r="W43" s="268" t="n"/>
      <c r="X43" s="268" t="n"/>
      <c r="Y43" s="268" t="n"/>
      <c r="Z43" s="323" t="n"/>
      <c r="AA43" s="322" t="inlineStr">
        <is>
          <t>Name  /  Signature  /  Date</t>
        </is>
      </c>
      <c r="AB43" s="268" t="n"/>
      <c r="AC43" s="268" t="n"/>
      <c r="AD43" s="268" t="n"/>
      <c r="AE43" s="268" t="n"/>
      <c r="AF43" s="268" t="n"/>
      <c r="AG43" s="268" t="n"/>
      <c r="AH43" s="268" t="n"/>
      <c r="AI43" s="268" t="n"/>
      <c r="AJ43" s="268" t="n"/>
      <c r="AK43" s="268" t="n"/>
      <c r="AL43" s="268" t="n"/>
      <c r="AM43" s="268" t="n"/>
      <c r="AN43" s="323" t="n"/>
    </row>
    <row r="44" ht="26" customHeight="1">
      <c r="A44" s="275" t="n"/>
      <c r="M44" s="324" t="n"/>
      <c r="N44" s="275" t="n"/>
      <c r="Z44" s="324" t="n"/>
      <c r="AA44" s="275" t="n"/>
      <c r="AN44" s="324" t="n"/>
    </row>
    <row r="45" ht="26" customHeight="1">
      <c r="A45" s="282" t="n"/>
      <c r="B45" s="283" t="n"/>
      <c r="C45" s="283" t="n"/>
      <c r="D45" s="283" t="n"/>
      <c r="E45" s="283" t="n"/>
      <c r="F45" s="283" t="n"/>
      <c r="G45" s="283" t="n"/>
      <c r="H45" s="283" t="n"/>
      <c r="I45" s="283" t="n"/>
      <c r="J45" s="283" t="n"/>
      <c r="K45" s="283" t="n"/>
      <c r="L45" s="283" t="n"/>
      <c r="M45" s="287" t="n"/>
      <c r="N45" s="282" t="n"/>
      <c r="O45" s="283" t="n"/>
      <c r="P45" s="283" t="n"/>
      <c r="Q45" s="283" t="n"/>
      <c r="R45" s="283" t="n"/>
      <c r="S45" s="283" t="n"/>
      <c r="T45" s="283" t="n"/>
      <c r="U45" s="283" t="n"/>
      <c r="V45" s="283" t="n"/>
      <c r="W45" s="283" t="n"/>
      <c r="X45" s="283" t="n"/>
      <c r="Y45" s="283" t="n"/>
      <c r="Z45" s="287" t="n"/>
      <c r="AA45" s="282" t="n"/>
      <c r="AB45" s="283" t="n"/>
      <c r="AC45" s="283" t="n"/>
      <c r="AD45" s="283" t="n"/>
      <c r="AE45" s="283" t="n"/>
      <c r="AF45" s="283" t="n"/>
      <c r="AG45" s="283" t="n"/>
      <c r="AH45" s="283" t="n"/>
      <c r="AI45" s="283" t="n"/>
      <c r="AJ45" s="283" t="n"/>
      <c r="AK45" s="283" t="n"/>
      <c r="AL45" s="283" t="n"/>
      <c r="AM45" s="283" t="n"/>
      <c r="AN45" s="287" t="n"/>
    </row>
    <row r="46" ht="4" customHeight="1">
      <c r="A46" s="25" t="n"/>
    </row>
    <row r="47" ht="24" customHeight="1">
      <c r="A47" s="325" t="inlineStr">
        <is>
          <t>NOTICE  —  Enter data only in designated white input cells. Do not add, delete or resize columns/rows. File naming: FRM-501_[RECORDID]_[YYYYMMDD].xlsx | Controlled source sets: Epicor / M365 / approved ANNEX references only.</t>
        </is>
      </c>
      <c r="B47" s="289" t="n"/>
      <c r="C47" s="289" t="n"/>
      <c r="D47" s="289" t="n"/>
      <c r="E47" s="289" t="n"/>
      <c r="F47" s="289" t="n"/>
      <c r="G47" s="289" t="n"/>
      <c r="H47" s="289" t="n"/>
      <c r="I47" s="289" t="n"/>
      <c r="J47" s="289" t="n"/>
      <c r="K47" s="289" t="n"/>
      <c r="L47" s="289" t="n"/>
      <c r="M47" s="289" t="n"/>
      <c r="N47" s="289" t="n"/>
      <c r="O47" s="289" t="n"/>
      <c r="P47" s="289" t="n"/>
      <c r="Q47" s="289" t="n"/>
      <c r="R47" s="289" t="n"/>
      <c r="S47" s="289" t="n"/>
      <c r="T47" s="289" t="n"/>
      <c r="U47" s="289" t="n"/>
      <c r="V47" s="289" t="n"/>
      <c r="W47" s="289" t="n"/>
      <c r="X47" s="289" t="n"/>
      <c r="Y47" s="289" t="n"/>
      <c r="Z47" s="289" t="n"/>
      <c r="AA47" s="289" t="n"/>
      <c r="AB47" s="289" t="n"/>
      <c r="AC47" s="289" t="n"/>
      <c r="AD47" s="289" t="n"/>
      <c r="AE47" s="289" t="n"/>
      <c r="AF47" s="289" t="n"/>
      <c r="AG47" s="289" t="n"/>
      <c r="AH47" s="289" t="n"/>
      <c r="AI47" s="289" t="n"/>
      <c r="AJ47" s="289" t="n"/>
      <c r="AK47" s="289" t="n"/>
      <c r="AL47" s="289" t="n"/>
      <c r="AM47" s="289" t="n"/>
      <c r="AN47" s="290"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187">
    <mergeCell ref="AM26:AN26"/>
    <mergeCell ref="A17:G17"/>
    <mergeCell ref="AF23:AI23"/>
    <mergeCell ref="T25:AE25"/>
    <mergeCell ref="C31:E31"/>
    <mergeCell ref="AB17:AN17"/>
    <mergeCell ref="AM29:AN29"/>
    <mergeCell ref="AM23:AN23"/>
    <mergeCell ref="A32:AN32"/>
    <mergeCell ref="C21:E21"/>
    <mergeCell ref="A14:AN14"/>
    <mergeCell ref="I4:AD4"/>
    <mergeCell ref="AD35:AH35"/>
    <mergeCell ref="AF22:AI22"/>
    <mergeCell ref="A9:G9"/>
    <mergeCell ref="I1:AD3"/>
    <mergeCell ref="AE4:AH4"/>
    <mergeCell ref="C23:E23"/>
    <mergeCell ref="U9:AA9"/>
    <mergeCell ref="AD34:AH34"/>
    <mergeCell ref="AM24:AN24"/>
    <mergeCell ref="C34:L34"/>
    <mergeCell ref="T22:AE22"/>
    <mergeCell ref="AL39:AN39"/>
    <mergeCell ref="A27:B27"/>
    <mergeCell ref="A11:G11"/>
    <mergeCell ref="T31:AE31"/>
    <mergeCell ref="A40:AN40"/>
    <mergeCell ref="AJ29:AL29"/>
    <mergeCell ref="AD36:AH36"/>
    <mergeCell ref="T28:AE28"/>
    <mergeCell ref="H9:T9"/>
    <mergeCell ref="AJ22:AL22"/>
    <mergeCell ref="AJ31:AL31"/>
    <mergeCell ref="F31:S31"/>
    <mergeCell ref="A22:B22"/>
    <mergeCell ref="F28:S28"/>
    <mergeCell ref="T30:AE30"/>
    <mergeCell ref="A35:B35"/>
    <mergeCell ref="A6:AN6"/>
    <mergeCell ref="AJ21:AL21"/>
    <mergeCell ref="AM25:AN25"/>
    <mergeCell ref="AI34:AK34"/>
    <mergeCell ref="T29:AE29"/>
    <mergeCell ref="AI1:AN1"/>
    <mergeCell ref="A28:B28"/>
    <mergeCell ref="M39:X39"/>
    <mergeCell ref="C25:E25"/>
    <mergeCell ref="A39:B39"/>
    <mergeCell ref="A42:M42"/>
    <mergeCell ref="A30:B30"/>
    <mergeCell ref="U18:AA18"/>
    <mergeCell ref="C39:L39"/>
    <mergeCell ref="A8:G8"/>
    <mergeCell ref="AF26:AI26"/>
    <mergeCell ref="C22:E22"/>
    <mergeCell ref="I5:AD5"/>
    <mergeCell ref="U8:AA8"/>
    <mergeCell ref="AB8:AN8"/>
    <mergeCell ref="AD38:AH38"/>
    <mergeCell ref="A47:AN47"/>
    <mergeCell ref="AM28:AN28"/>
    <mergeCell ref="C38:L38"/>
    <mergeCell ref="A10:G10"/>
    <mergeCell ref="H15:T15"/>
    <mergeCell ref="AE5:AH5"/>
    <mergeCell ref="U10:AA10"/>
    <mergeCell ref="AJ24:AL24"/>
    <mergeCell ref="AB10:AN10"/>
    <mergeCell ref="H18:T18"/>
    <mergeCell ref="Y39:AC39"/>
    <mergeCell ref="A20:AN20"/>
    <mergeCell ref="M37:X37"/>
    <mergeCell ref="F21:S21"/>
    <mergeCell ref="AB18:AN18"/>
    <mergeCell ref="AF27:AI27"/>
    <mergeCell ref="AI37:AK37"/>
    <mergeCell ref="H8:T8"/>
    <mergeCell ref="A37:B37"/>
    <mergeCell ref="AJ26:AL26"/>
    <mergeCell ref="A13:AN13"/>
    <mergeCell ref="AF24:AI24"/>
    <mergeCell ref="AI3:AN3"/>
    <mergeCell ref="AL35:AN35"/>
    <mergeCell ref="H10:T10"/>
    <mergeCell ref="A26:B26"/>
    <mergeCell ref="AJ25:AL25"/>
    <mergeCell ref="M38:X38"/>
    <mergeCell ref="AM30:AN30"/>
    <mergeCell ref="AI5:AN5"/>
    <mergeCell ref="C35:L35"/>
    <mergeCell ref="Y37:AC37"/>
    <mergeCell ref="F22:S22"/>
    <mergeCell ref="C24:E24"/>
    <mergeCell ref="AF25:AI25"/>
    <mergeCell ref="A7:AN7"/>
    <mergeCell ref="A12:G12"/>
    <mergeCell ref="H17:T17"/>
    <mergeCell ref="AF30:AI30"/>
    <mergeCell ref="A41:AN41"/>
    <mergeCell ref="C26:E26"/>
    <mergeCell ref="U12:AA12"/>
    <mergeCell ref="AB12:AN12"/>
    <mergeCell ref="AD37:AH37"/>
    <mergeCell ref="M35:X35"/>
    <mergeCell ref="C36:L36"/>
    <mergeCell ref="AE1:AH1"/>
    <mergeCell ref="A34:B34"/>
    <mergeCell ref="F29:S29"/>
    <mergeCell ref="AD39:AH39"/>
    <mergeCell ref="AI36:AK36"/>
    <mergeCell ref="AL37:AN37"/>
    <mergeCell ref="AF31:AI31"/>
    <mergeCell ref="A33:AN33"/>
    <mergeCell ref="H12:T12"/>
    <mergeCell ref="A36:B36"/>
    <mergeCell ref="AM22:AN22"/>
    <mergeCell ref="T21:AE21"/>
    <mergeCell ref="AF28:AI28"/>
    <mergeCell ref="C37:L37"/>
    <mergeCell ref="T26:AE26"/>
    <mergeCell ref="AA43:AN45"/>
    <mergeCell ref="Y35:AC35"/>
    <mergeCell ref="F24:S24"/>
    <mergeCell ref="A19:AN19"/>
    <mergeCell ref="T23:AE23"/>
    <mergeCell ref="A1:H5"/>
    <mergeCell ref="F26:S26"/>
    <mergeCell ref="A21:B21"/>
    <mergeCell ref="C28:E28"/>
    <mergeCell ref="AI2:AN2"/>
    <mergeCell ref="AE3:AH3"/>
    <mergeCell ref="T27:AE27"/>
    <mergeCell ref="A16:G16"/>
    <mergeCell ref="U17:AA17"/>
    <mergeCell ref="A23:B23"/>
    <mergeCell ref="C30:E30"/>
    <mergeCell ref="U11:AA11"/>
    <mergeCell ref="AB16:AN16"/>
    <mergeCell ref="AL34:AN34"/>
    <mergeCell ref="AI38:AK38"/>
    <mergeCell ref="F27:S27"/>
    <mergeCell ref="A38:B38"/>
    <mergeCell ref="A18:G18"/>
    <mergeCell ref="N42:Z42"/>
    <mergeCell ref="AJ27:AL27"/>
    <mergeCell ref="AB9:AN9"/>
    <mergeCell ref="AM21:AN21"/>
    <mergeCell ref="N43:Z45"/>
    <mergeCell ref="AL36:AN36"/>
    <mergeCell ref="A46:AN46"/>
    <mergeCell ref="H11:T11"/>
    <mergeCell ref="AM27:AN27"/>
    <mergeCell ref="AB11:AN11"/>
    <mergeCell ref="A24:B24"/>
    <mergeCell ref="Y38:AC38"/>
    <mergeCell ref="AJ28:AL28"/>
    <mergeCell ref="AI4:AN4"/>
    <mergeCell ref="F25:S25"/>
    <mergeCell ref="AI35:AK35"/>
    <mergeCell ref="AJ30:AL30"/>
    <mergeCell ref="C27:E27"/>
    <mergeCell ref="F30:S30"/>
    <mergeCell ref="A25:B25"/>
    <mergeCell ref="M36:X36"/>
    <mergeCell ref="A43:M45"/>
    <mergeCell ref="A15:G15"/>
    <mergeCell ref="U15:AA15"/>
    <mergeCell ref="AB15:AN15"/>
    <mergeCell ref="AL38:AN38"/>
    <mergeCell ref="Y34:AC34"/>
    <mergeCell ref="AF29:AI29"/>
    <mergeCell ref="AI39:AK39"/>
    <mergeCell ref="F23:S23"/>
    <mergeCell ref="AE2:AH2"/>
    <mergeCell ref="M34:X34"/>
    <mergeCell ref="Y36:AC36"/>
    <mergeCell ref="U16:AA16"/>
    <mergeCell ref="AM31:AN31"/>
    <mergeCell ref="T24:AE24"/>
    <mergeCell ref="A29:B29"/>
    <mergeCell ref="AJ23:AL23"/>
    <mergeCell ref="AF21:AI21"/>
    <mergeCell ref="C29:E29"/>
    <mergeCell ref="AA42:AN42"/>
    <mergeCell ref="A31:B31"/>
    <mergeCell ref="H16:T16"/>
  </mergeCells>
  <dataValidations count="38">
    <dataValidation sqref="AF22" showDropDown="0" showInputMessage="0" showErrorMessage="0" allowBlank="1" error="Use controlled value from VAL_RESULT_CORE." prompt="Select from VAL_RESULT_CORE." type="list">
      <formula1>=VAL_RESULT_CORE</formula1>
    </dataValidation>
    <dataValidation sqref="AF23" showDropDown="0" showInputMessage="0" showErrorMessage="0" allowBlank="1" error="Use controlled value from VAL_RESULT_CORE." prompt="Select from VAL_RESULT_CORE." type="list">
      <formula1>=VAL_RESULT_CORE</formula1>
    </dataValidation>
    <dataValidation sqref="AF24" showDropDown="0" showInputMessage="0" showErrorMessage="0" allowBlank="1" error="Use controlled value from VAL_RESULT_CORE." prompt="Select from VAL_RESULT_CORE." type="list">
      <formula1>=VAL_RESULT_CORE</formula1>
    </dataValidation>
    <dataValidation sqref="AF25" showDropDown="0" showInputMessage="0" showErrorMessage="0" allowBlank="1" error="Use controlled value from VAL_RESULT_CORE." prompt="Select from VAL_RESULT_CORE." type="list">
      <formula1>=VAL_RESULT_CORE</formula1>
    </dataValidation>
    <dataValidation sqref="AF26" showDropDown="0" showInputMessage="0" showErrorMessage="0" allowBlank="1" error="Use controlled value from VAL_RESULT_CORE." prompt="Select from VAL_RESULT_CORE." type="list">
      <formula1>=VAL_RESULT_CORE</formula1>
    </dataValidation>
    <dataValidation sqref="AF27" showDropDown="0" showInputMessage="0" showErrorMessage="0" allowBlank="1" error="Use controlled value from VAL_RESULT_CORE." prompt="Select from VAL_RESULT_CORE." type="list">
      <formula1>=VAL_RESULT_CORE</formula1>
    </dataValidation>
    <dataValidation sqref="AF28" showDropDown="0" showInputMessage="0" showErrorMessage="0" allowBlank="1" error="Use controlled value from VAL_RESULT_CORE." prompt="Select from VAL_RESULT_CORE." type="list">
      <formula1>=VAL_RESULT_CORE</formula1>
    </dataValidation>
    <dataValidation sqref="AF29" showDropDown="0" showInputMessage="0" showErrorMessage="0" allowBlank="1" error="Use controlled value from VAL_RESULT_CORE." prompt="Select from VAL_RESULT_CORE." type="list">
      <formula1>=VAL_RESULT_CORE</formula1>
    </dataValidation>
    <dataValidation sqref="AF30" showDropDown="0" showInputMessage="0" showErrorMessage="0" allowBlank="1" error="Use controlled value from VAL_RESULT_CORE." prompt="Select from VAL_RESULT_CORE." type="list">
      <formula1>=VAL_RESULT_CORE</formula1>
    </dataValidation>
    <dataValidation sqref="AF31" showDropDown="0" showInputMessage="0" showErrorMessage="0" allowBlank="1" error="Use controlled value from VAL_RESULT_CORE." prompt="Select from VAL_RESULT_CORE." type="list">
      <formula1>=VAL_RESULT_CORE</formula1>
    </dataValidation>
    <dataValidation sqref="AJ22" showDropDown="0" showInputMessage="0" showErrorMessage="0" allowBlank="1" error="Use controlled value from REF_OWNER_PERSON_MASTER." prompt="Select from REF_OWNER_PERSON_MASTER." type="list">
      <formula1>=REF_OWNER_PERSON_MASTER</formula1>
    </dataValidation>
    <dataValidation sqref="AJ23" showDropDown="0" showInputMessage="0" showErrorMessage="0" allowBlank="1" error="Use controlled value from REF_OWNER_PERSON_MASTER." prompt="Select from REF_OWNER_PERSON_MASTER." type="list">
      <formula1>=REF_OWNER_PERSON_MASTER</formula1>
    </dataValidation>
    <dataValidation sqref="AJ24" showDropDown="0" showInputMessage="0" showErrorMessage="0" allowBlank="1" error="Use controlled value from REF_OWNER_PERSON_MASTER." prompt="Select from REF_OWNER_PERSON_MASTER." type="list">
      <formula1>=REF_OWNER_PERSON_MASTER</formula1>
    </dataValidation>
    <dataValidation sqref="AJ25" showDropDown="0" showInputMessage="0" showErrorMessage="0" allowBlank="1" error="Use controlled value from REF_OWNER_PERSON_MASTER." prompt="Select from REF_OWNER_PERSON_MASTER." type="list">
      <formula1>=REF_OWNER_PERSON_MASTER</formula1>
    </dataValidation>
    <dataValidation sqref="AJ26" showDropDown="0" showInputMessage="0" showErrorMessage="0" allowBlank="1" error="Use controlled value from REF_OWNER_PERSON_MASTER." prompt="Select from REF_OWNER_PERSON_MASTER." type="list">
      <formula1>=REF_OWNER_PERSON_MASTER</formula1>
    </dataValidation>
    <dataValidation sqref="AJ27" showDropDown="0" showInputMessage="0" showErrorMessage="0" allowBlank="1" error="Use controlled value from REF_OWNER_PERSON_MASTER." prompt="Select from REF_OWNER_PERSON_MASTER." type="list">
      <formula1>=REF_OWNER_PERSON_MASTER</formula1>
    </dataValidation>
    <dataValidation sqref="AJ28" showDropDown="0" showInputMessage="0" showErrorMessage="0" allowBlank="1" error="Use controlled value from REF_OWNER_PERSON_MASTER." prompt="Select from REF_OWNER_PERSON_MASTER." type="list">
      <formula1>=REF_OWNER_PERSON_MASTER</formula1>
    </dataValidation>
    <dataValidation sqref="AJ29" showDropDown="0" showInputMessage="0" showErrorMessage="0" allowBlank="1" error="Use controlled value from REF_OWNER_PERSON_MASTER." prompt="Select from REF_OWNER_PERSON_MASTER." type="list">
      <formula1>=REF_OWNER_PERSON_MASTER</formula1>
    </dataValidation>
    <dataValidation sqref="AJ30" showDropDown="0" showInputMessage="0" showErrorMessage="0" allowBlank="1" error="Use controlled value from REF_OWNER_PERSON_MASTER." prompt="Select from REF_OWNER_PERSON_MASTER." type="list">
      <formula1>=REF_OWNER_PERSON_MASTER</formula1>
    </dataValidation>
    <dataValidation sqref="AJ31" showDropDown="0" showInputMessage="0" showErrorMessage="0" allowBlank="1" error="Use controlled value from REF_OWNER_PERSON_MASTER." prompt="Select from REF_OWNER_PERSON_MASTER." type="list">
      <formula1>=REF_OWNER_PERSON_MASTER</formula1>
    </dataValidation>
    <dataValidation sqref="AI35" showDropDown="0" showInputMessage="0" showErrorMessage="0" allowBlank="1" error="Use controlled value from VAL_STATUS_CORE." prompt="Select from VAL_STATUS_CORE." type="list">
      <formula1>=VAL_STATUS_CORE</formula1>
    </dataValidation>
    <dataValidation sqref="AI36" showDropDown="0" showInputMessage="0" showErrorMessage="0" allowBlank="1" error="Use controlled value from VAL_STATUS_CORE." prompt="Select from VAL_STATUS_CORE." type="list">
      <formula1>=VAL_STATUS_CORE</formula1>
    </dataValidation>
    <dataValidation sqref="AI37" showDropDown="0" showInputMessage="0" showErrorMessage="0" allowBlank="1" error="Use controlled value from VAL_STATUS_CORE." prompt="Select from VAL_STATUS_CORE." type="list">
      <formula1>=VAL_STATUS_CORE</formula1>
    </dataValidation>
    <dataValidation sqref="AI38" showDropDown="0" showInputMessage="0" showErrorMessage="0" allowBlank="1" error="Use controlled value from VAL_STATUS_CORE." prompt="Select from VAL_STATUS_CORE." type="list">
      <formula1>=VAL_STATUS_CORE</formula1>
    </dataValidation>
    <dataValidation sqref="AI39" showDropDown="0" showInputMessage="0" showErrorMessage="0" allowBlank="1" error="Use controlled value from VAL_STATUS_CORE." prompt="Select from VAL_STATUS_CORE." type="list">
      <formula1>=VAL_STATUS_CORE</formula1>
    </dataValidation>
    <dataValidation sqref="Y35" showDropDown="0" showInputMessage="0" showErrorMessage="0" allowBlank="1" error="Use controlled value from REF_OWNER_PERSON_MASTER." prompt="Select from REF_OWNER_PERSON_MASTER." type="list">
      <formula1>=REF_OWNER_PERSON_MASTER</formula1>
    </dataValidation>
    <dataValidation sqref="Y36" showDropDown="0" showInputMessage="0" showErrorMessage="0" allowBlank="1" error="Use controlled value from REF_OWNER_PERSON_MASTER." prompt="Select from REF_OWNER_PERSON_MASTER." type="list">
      <formula1>=REF_OWNER_PERSON_MASTER</formula1>
    </dataValidation>
    <dataValidation sqref="Y37" showDropDown="0" showInputMessage="0" showErrorMessage="0" allowBlank="1" error="Use controlled value from REF_OWNER_PERSON_MASTER." prompt="Select from REF_OWNER_PERSON_MASTER." type="list">
      <formula1>=REF_OWNER_PERSON_MASTER</formula1>
    </dataValidation>
    <dataValidation sqref="Y38" showDropDown="0" showInputMessage="0" showErrorMessage="0" allowBlank="1" error="Use controlled value from REF_OWNER_PERSON_MASTER." prompt="Select from REF_OWNER_PERSON_MASTER." type="list">
      <formula1>=REF_OWNER_PERSON_MASTER</formula1>
    </dataValidation>
    <dataValidation sqref="Y39" showDropDown="0" showInputMessage="0" showErrorMessage="0" allowBlank="1" error="Use controlled value from REF_OWNER_PERSON_MASTER." prompt="Select from REF_OWNER_PERSON_MASTER." type="list">
      <formula1>=REF_OWNER_PERSON_MASTER</formula1>
    </dataValidation>
    <dataValidation sqref="H8" showDropDown="0" showInputMessage="0" showErrorMessage="0" allowBlank="1" error="Use controlled value from REF_JOB_WO_MASTER." prompt="Select from REF_JOB_WO_MASTER." type="list">
      <formula1>=REF_JOB_WO_MASTER</formula1>
    </dataValidation>
    <dataValidation sqref="AB8" showDropDown="0" showInputMessage="0" showErrorMessage="0" allowBlank="1" error="Use controlled value from REF_PART_REV_MASTER." prompt="Select from REF_PART_REV_MASTER." type="list">
      <formula1>=REF_PART_REV_MASTER</formula1>
    </dataValidation>
    <dataValidation sqref="AB9" showDropDown="0" showInputMessage="0" showErrorMessage="0" allowBlank="1" error="Use controlled value from REF_ROUTE_OPERATION_MASTER." prompt="Select from REF_ROUTE_OPERATION_MASTER." type="list">
      <formula1>=REF_ROUTE_OPERATION_MASTER</formula1>
    </dataValidation>
    <dataValidation sqref="AB10" showDropDown="0" showInputMessage="0" showErrorMessage="0" allowBlank="1" error="Use controlled value from REF_MACHINE_WC_MASTER." prompt="Select from REF_MACHINE_WC_MASTER." type="list">
      <formula1>=REF_MACHINE_WC_MASTER</formula1>
    </dataValidation>
    <dataValidation sqref="AB11" showDropDown="0" showInputMessage="0" showErrorMessage="0" allowBlank="1" error="Use controlled value from VAL_RISK_LEVEL_CORE." prompt="Select from VAL_RISK_LEVEL_CORE." type="list">
      <formula1>=VAL_RISK_LEVEL_CORE</formula1>
    </dataValidation>
    <dataValidation sqref="AB12" showDropDown="0" showInputMessage="0" showErrorMessage="0" allowBlank="1" error="Use controlled value from VAL_STATUS_CORE." prompt="Select from VAL_STATUS_CORE." type="list">
      <formula1>=VAL_STATUS_CORE</formula1>
    </dataValidation>
    <dataValidation sqref="AB15" showDropDown="0" showInputMessage="0" showErrorMessage="0" allowBlank="1" error="Use controlled value from VAL_DECISION_GATE_CORE." prompt="Select from VAL_DECISION_GATE_CORE." type="list">
      <formula1>=VAL_DECISION_GATE_CORE</formula1>
    </dataValidation>
    <dataValidation sqref="AB18" showDropDown="0" showInputMessage="0" showErrorMessage="0" allowBlank="1" error="Use controlled value from VAL_STATUS_CORE." prompt="Select from VAL_STATUS_CORE." type="list">
      <formula1>=VAL_STATUS_CORE</formula1>
    </dataValidation>
  </dataValidations>
  <printOptions headings="0" gridLines="0"/>
  <pageMargins left="0.197" right="0.197" top="0.197" bottom="0.197" header="0.1" footer="0.1"/>
  <pageSetup orientation="portrait" paperSize="9" fitToHeight="0" fitToWidth="1"/>
  <headerFooter>
    <oddHeader/>
    <oddFooter>&amp;C&amp;"Segoe UI"&amp;7 FRM-501  ·  Rev.01  ·  HESEM Engineering — PRECISION  ·  Page &amp;P of &amp;N  ·  Printed: &amp;D</oddFooter>
    <evenHeader/>
    <evenFooter/>
    <firstHeader/>
    <firstFooter/>
  </headerFooter>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D7"/>
  <sheetViews>
    <sheetView tabSelected="0" topLeftCell="A1" workbookViewId="0">
      <selection activeCell="A1" sqref="A1"/>
    </sheetView>
  </sheetViews>
  <sheetFormatPr baseColWidth="8" defaultRowHeight="15"/>
  <cols>
    <col width="20" customWidth="1" min="1" max="1"/>
    <col width="20" customWidth="1" min="2" max="2"/>
    <col width="20" customWidth="1" min="3" max="3"/>
    <col width="20" customWidth="1" min="4" max="4"/>
    <col hidden="1" width="20" customWidth="1" min="5" max="16384"/>
  </cols>
  <sheetData>
    <row r="1">
      <c r="A1" t="inlineStr">
        <is>
          <t>VAL_RESULT_CORE</t>
        </is>
      </c>
      <c r="B1" t="inlineStr">
        <is>
          <t>VAL_DECISION_GATE_CORE</t>
        </is>
      </c>
      <c r="C1" t="inlineStr">
        <is>
          <t>VAL_STATUS_CORE</t>
        </is>
      </c>
      <c r="D1" t="inlineStr">
        <is>
          <t>VAL_RISK_LEVEL_CORE</t>
        </is>
      </c>
    </row>
    <row r="2">
      <c r="A2" t="inlineStr">
        <is>
          <t>PASS</t>
        </is>
      </c>
      <c r="B2" t="inlineStr">
        <is>
          <t>APPROVED</t>
        </is>
      </c>
      <c r="C2" t="inlineStr">
        <is>
          <t>OPEN</t>
        </is>
      </c>
      <c r="D2" t="inlineStr">
        <is>
          <t>LOW</t>
        </is>
      </c>
    </row>
    <row r="3">
      <c r="A3" t="inlineStr">
        <is>
          <t>HOLD</t>
        </is>
      </c>
      <c r="B3" t="inlineStr">
        <is>
          <t>CONDITIONAL</t>
        </is>
      </c>
      <c r="C3" t="inlineStr">
        <is>
          <t>IN PROGRESS</t>
        </is>
      </c>
      <c r="D3" t="inlineStr">
        <is>
          <t>MEDIUM</t>
        </is>
      </c>
    </row>
    <row r="4">
      <c r="A4" t="inlineStr">
        <is>
          <t>FAIL</t>
        </is>
      </c>
      <c r="B4" t="inlineStr">
        <is>
          <t>HOLD</t>
        </is>
      </c>
      <c r="C4" t="inlineStr">
        <is>
          <t>CLOSED</t>
        </is>
      </c>
      <c r="D4" t="inlineStr">
        <is>
          <t>HIGH</t>
        </is>
      </c>
    </row>
    <row r="5">
      <c r="A5" t="inlineStr">
        <is>
          <t>NA</t>
        </is>
      </c>
      <c r="B5" t="inlineStr">
        <is>
          <t>REJECT</t>
        </is>
      </c>
      <c r="C5" t="inlineStr">
        <is>
          <t>MONITORING</t>
        </is>
      </c>
      <c r="D5" t="inlineStr">
        <is>
          <t>CRITICAL</t>
        </is>
      </c>
    </row>
    <row r="6">
      <c r="C6" t="inlineStr">
        <is>
          <t>SUPERSEDED</t>
        </is>
      </c>
    </row>
    <row r="7">
      <c r="C7" t="inlineStr">
        <is>
          <t>VOID</t>
        </is>
      </c>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E6"/>
  <sheetViews>
    <sheetView tabSelected="0" topLeftCell="A1" workbookViewId="0">
      <selection activeCell="A1" sqref="A1"/>
    </sheetView>
  </sheetViews>
  <sheetFormatPr baseColWidth="8" defaultRowHeight="15"/>
  <cols>
    <col hidden="1" width="13" customWidth="1" min="6" max="16384"/>
  </cols>
  <sheetData>
    <row r="1">
      <c r="A1" t="inlineStr">
        <is>
          <t>REF_JOB_WO_MASTER</t>
        </is>
      </c>
      <c r="B1" t="inlineStr">
        <is>
          <t>REF_PART_REV_MASTER</t>
        </is>
      </c>
      <c r="C1" t="inlineStr">
        <is>
          <t>REF_ROUTE_OPERATION_MASTER</t>
        </is>
      </c>
      <c r="D1" t="inlineStr">
        <is>
          <t>REF_MACHINE_WC_MASTER</t>
        </is>
      </c>
      <c r="E1" t="inlineStr">
        <is>
          <t>REF_OWNER_PERSON_MASTER</t>
        </is>
      </c>
    </row>
    <row r="2">
      <c r="A2" t="inlineStr">
        <is>
          <t>JOB-240001</t>
        </is>
      </c>
      <c r="B2" t="inlineStr">
        <is>
          <t>PN-1001 / Rev.A</t>
        </is>
      </c>
      <c r="C2" t="inlineStr">
        <is>
          <t>OP10 Rough</t>
        </is>
      </c>
      <c r="D2" t="inlineStr">
        <is>
          <t>WC-3AX-01</t>
        </is>
      </c>
      <c r="E2" t="inlineStr">
        <is>
          <t>Planning Lead</t>
        </is>
      </c>
    </row>
    <row r="3">
      <c r="A3" t="inlineStr">
        <is>
          <t>JOB-240002</t>
        </is>
      </c>
      <c r="B3" t="inlineStr">
        <is>
          <t>PN-1002 / Rev.B</t>
        </is>
      </c>
      <c r="C3" t="inlineStr">
        <is>
          <t>OP20 Finish</t>
        </is>
      </c>
      <c r="D3" t="inlineStr">
        <is>
          <t>WC-5AX-02</t>
        </is>
      </c>
      <c r="E3" t="inlineStr">
        <is>
          <t>Production Supervisor</t>
        </is>
      </c>
    </row>
    <row r="4">
      <c r="A4" t="inlineStr">
        <is>
          <t>JOB-240003</t>
        </is>
      </c>
      <c r="B4" t="inlineStr">
        <is>
          <t>PN-1003 / Rev.C</t>
        </is>
      </c>
      <c r="C4" t="inlineStr">
        <is>
          <t>OP30 Deburr</t>
        </is>
      </c>
      <c r="D4" t="inlineStr">
        <is>
          <t>CELL-TURN-01</t>
        </is>
      </c>
      <c r="E4" t="inlineStr">
        <is>
          <t>QA Engineer</t>
        </is>
      </c>
    </row>
    <row r="5">
      <c r="C5" t="inlineStr">
        <is>
          <t>OP40 Final QC</t>
        </is>
      </c>
      <c r="D5" t="inlineStr">
        <is>
          <t>FIN-01</t>
        </is>
      </c>
      <c r="E5" t="inlineStr">
        <is>
          <t>Engineering Lead</t>
        </is>
      </c>
    </row>
    <row r="6">
      <c r="E6" t="inlineStr">
        <is>
          <t>Setup Technician</t>
        </is>
      </c>
    </row>
    <row r="7" hidden="1"/>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7" right="0.7" top="0.75" bottom="0.75" header="0.3" footer="0.3"/>
</worksheet>
</file>

<file path=xl/worksheets/sheet4.xml><?xml version="1.0" encoding="utf-8"?>
<worksheet xmlns="http://schemas.openxmlformats.org/spreadsheetml/2006/main">
  <sheetPr>
    <outlinePr summaryBelow="1" summaryRight="1"/>
    <pageSetUpPr autoPageBreaks="0" fitToPage="1"/>
  </sheetPr>
  <dimension ref="A1:I28"/>
  <sheetViews>
    <sheetView showGridLines="0" workbookViewId="0">
      <pane ySplit="16" topLeftCell="A17" activePane="bottomLeft" state="frozen"/>
      <selection pane="bottomLeft" activeCell="A1" sqref="A1"/>
    </sheetView>
  </sheetViews>
  <sheetFormatPr baseColWidth="8" defaultRowHeight="15"/>
  <cols>
    <col width="7" customWidth="1" min="1" max="1"/>
    <col width="15.78" customWidth="1" min="2" max="2"/>
    <col width="15.78" customWidth="1" min="3" max="3"/>
    <col width="15.78" customWidth="1" min="4" max="4"/>
    <col width="7.89" customWidth="1" min="5" max="5"/>
    <col width="8.550000000000001" customWidth="1" min="6" max="6"/>
    <col width="7" customWidth="1" min="7" max="7"/>
    <col width="7.89" customWidth="1" min="8" max="8"/>
    <col width="10.52" customWidth="1" min="9" max="9"/>
    <col hidden="1" outlineLevel="1" width="13" customWidth="1" min="10" max="16384"/>
  </cols>
  <sheetData>
    <row r="1" ht="15" customHeight="1">
      <c r="A1" s="390" t="n"/>
      <c r="B1" s="323" t="n"/>
      <c r="C1" s="391" t="inlineStr">
        <is>
          <t>BLOCKER / RECOVERY LOG</t>
        </is>
      </c>
      <c r="D1" s="268" t="n"/>
      <c r="E1" s="268" t="n"/>
      <c r="F1" s="268" t="n"/>
      <c r="G1" s="323" t="n"/>
      <c r="H1" s="341" t="inlineStr">
        <is>
          <t>Form Code</t>
        </is>
      </c>
      <c r="I1" s="342" t="inlineStr">
        <is>
          <t>FRM-501</t>
        </is>
      </c>
    </row>
    <row r="2" ht="15" customHeight="1">
      <c r="A2" s="275" t="n"/>
      <c r="B2" s="324" t="n"/>
      <c r="C2" s="275" t="n"/>
      <c r="G2" s="324" t="n"/>
      <c r="H2" s="348" t="inlineStr">
        <is>
          <t>Revision</t>
        </is>
      </c>
      <c r="I2" s="349" t="inlineStr">
        <is>
          <t>V0</t>
        </is>
      </c>
    </row>
    <row r="3" ht="15" customHeight="1">
      <c r="A3" s="275" t="n"/>
      <c r="B3" s="324" t="n"/>
      <c r="C3" s="282" t="n"/>
      <c r="D3" s="283" t="n"/>
      <c r="E3" s="283" t="n"/>
      <c r="F3" s="283" t="n"/>
      <c r="G3" s="287" t="n"/>
      <c r="H3" s="348" t="inlineStr">
        <is>
          <t>Eff. Date</t>
        </is>
      </c>
      <c r="I3" s="349" t="inlineStr">
        <is>
          <t>YYYY-MM-DD</t>
        </is>
      </c>
    </row>
    <row r="4" ht="15" customHeight="1">
      <c r="A4" s="275" t="n"/>
      <c r="B4" s="324" t="n"/>
      <c r="C4" s="392" t="inlineStr">
        <is>
          <t>Quality Management System  ·  Controlled Document</t>
        </is>
      </c>
      <c r="D4" s="289" t="n"/>
      <c r="E4" s="289" t="n"/>
      <c r="F4" s="289" t="n"/>
      <c r="G4" s="290" t="n"/>
      <c r="H4" s="348" t="inlineStr">
        <is>
          <t>Owner</t>
        </is>
      </c>
      <c r="I4" s="349" t="inlineStr"/>
    </row>
    <row r="5" ht="15" customHeight="1">
      <c r="A5" s="282" t="n"/>
      <c r="B5" s="287" t="n"/>
      <c r="C5" s="393" t="inlineStr">
        <is>
          <t>HESEM Engineering  ·  ISO 9001 / AS9100  ·  Semiconductor Equipment Parts</t>
        </is>
      </c>
      <c r="D5" s="289" t="n"/>
      <c r="E5" s="289" t="n"/>
      <c r="F5" s="289" t="n"/>
      <c r="G5" s="290" t="n"/>
      <c r="H5" s="361" t="inlineStr">
        <is>
          <t>Approved</t>
        </is>
      </c>
      <c r="I5" s="362" t="inlineStr"/>
    </row>
    <row r="6" ht="4" customHeight="1">
      <c r="A6" s="390" t="n"/>
      <c r="B6" s="289" t="n"/>
      <c r="C6" s="289" t="n"/>
      <c r="D6" s="289" t="n"/>
      <c r="E6" s="289" t="n"/>
      <c r="F6" s="289" t="n"/>
      <c r="G6" s="289" t="n"/>
      <c r="H6" s="289" t="n"/>
      <c r="I6" s="290" t="n"/>
    </row>
    <row r="7" ht="17" customHeight="1">
      <c r="A7" s="394" t="inlineStr">
        <is>
          <t>1.  CONTROL CONTEXT / SUPPORT TAB PURPOSE</t>
        </is>
      </c>
      <c r="B7" s="289" t="n"/>
      <c r="C7" s="289" t="n"/>
      <c r="D7" s="289" t="n"/>
      <c r="E7" s="289" t="n"/>
      <c r="F7" s="289" t="n"/>
      <c r="G7" s="289" t="n"/>
      <c r="H7" s="289" t="n"/>
      <c r="I7" s="290" t="n"/>
    </row>
    <row r="8" ht="20" customHeight="1">
      <c r="A8" s="395" t="inlineStr">
        <is>
          <t>Parent Form</t>
        </is>
      </c>
      <c r="B8" s="290" t="n"/>
      <c r="C8" s="396" t="inlineStr">
        <is>
          <t>FRM-501 · PLANNING RELEASE CHECKLIST</t>
        </is>
      </c>
      <c r="D8" s="289" t="n"/>
      <c r="E8" s="290" t="n"/>
      <c r="F8" s="395" t="inlineStr">
        <is>
          <t>Support Tab</t>
        </is>
      </c>
      <c r="G8" s="290" t="n"/>
      <c r="H8" s="396" t="inlineStr">
        <is>
          <t>BLOCKERS</t>
        </is>
      </c>
      <c r="I8" s="290" t="n"/>
    </row>
    <row r="9" ht="20" customHeight="1">
      <c r="A9" s="395" t="inlineStr">
        <is>
          <t>Tab Purpose</t>
        </is>
      </c>
      <c r="B9" s="290" t="n"/>
      <c r="C9" s="396" t="inlineStr">
        <is>
          <t>Track only current release blockers and required actions.</t>
        </is>
      </c>
      <c r="D9" s="289" t="n"/>
      <c r="E9" s="290" t="n"/>
      <c r="F9" s="395" t="inlineStr">
        <is>
          <t>Working Owner</t>
        </is>
      </c>
      <c r="G9" s="290" t="n"/>
      <c r="H9" s="396" t="inlineStr"/>
      <c r="I9" s="290" t="n"/>
    </row>
    <row r="10" ht="20" customHeight="1">
      <c r="A10" s="395" t="inlineStr">
        <is>
          <t>Source of Truth</t>
        </is>
      </c>
      <c r="B10" s="290" t="n"/>
      <c r="C10" s="396" t="inlineStr">
        <is>
          <t>Use controlled parent-form references, _IMPORT lists and approved evidence sources only.</t>
        </is>
      </c>
      <c r="D10" s="289" t="n"/>
      <c r="E10" s="290" t="n"/>
      <c r="F10" s="395" t="inlineStr">
        <is>
          <t>Reviewed By</t>
        </is>
      </c>
      <c r="G10" s="290" t="n"/>
      <c r="H10" s="396" t="inlineStr"/>
      <c r="I10" s="290" t="n"/>
    </row>
    <row r="11" ht="20" customHeight="1">
      <c r="A11" s="395" t="inlineStr">
        <is>
          <t>Update Trigger</t>
        </is>
      </c>
      <c r="B11" s="290" t="n"/>
      <c r="C11" s="396" t="inlineStr">
        <is>
          <t>Update when the linked review, evidence or follow-up status changes.</t>
        </is>
      </c>
      <c r="D11" s="289" t="n"/>
      <c r="E11" s="290" t="n"/>
      <c r="F11" s="395" t="inlineStr">
        <is>
          <t>Data Structure</t>
        </is>
      </c>
      <c r="G11" s="290" t="n"/>
      <c r="H11" s="396" t="inlineStr">
        <is>
          <t>Structured Excel Table with filters and print-title rows.</t>
        </is>
      </c>
      <c r="I11" s="290" t="n"/>
    </row>
    <row r="12" ht="20" customHeight="1">
      <c r="A12" s="395" t="inlineStr">
        <is>
          <t>Retention Rule</t>
        </is>
      </c>
      <c r="B12" s="290" t="n"/>
      <c r="C12" s="396" t="inlineStr">
        <is>
          <t>Do not delete historical lines once evidence has been recorded or reviewed.</t>
        </is>
      </c>
      <c r="D12" s="289" t="n"/>
      <c r="E12" s="290" t="n"/>
      <c r="F12" s="395" t="inlineStr">
        <is>
          <t>Controlled Status</t>
        </is>
      </c>
      <c r="G12" s="290" t="n"/>
      <c r="H12" s="396" t="inlineStr">
        <is>
          <t>Support sheet only — not a replacement for ERP / M365 system-of-record.</t>
        </is>
      </c>
      <c r="I12" s="290" t="n"/>
    </row>
    <row r="13" ht="4" customHeight="1">
      <c r="A13" s="390" t="n"/>
      <c r="B13" s="289" t="n"/>
      <c r="C13" s="289" t="n"/>
      <c r="D13" s="289" t="n"/>
      <c r="E13" s="289" t="n"/>
      <c r="F13" s="289" t="n"/>
      <c r="G13" s="289" t="n"/>
      <c r="H13" s="289" t="n"/>
      <c r="I13" s="290" t="n"/>
    </row>
    <row r="14" ht="17" customHeight="1">
      <c r="A14" s="394" t="inlineStr">
        <is>
          <t>2.  WORKING TABLE / DETAIL LINES</t>
        </is>
      </c>
      <c r="B14" s="289" t="n"/>
      <c r="C14" s="289" t="n"/>
      <c r="D14" s="289" t="n"/>
      <c r="E14" s="289" t="n"/>
      <c r="F14" s="289" t="n"/>
      <c r="G14" s="289" t="n"/>
      <c r="H14" s="289" t="n"/>
      <c r="I14" s="290" t="n"/>
    </row>
    <row r="15" ht="24" customHeight="1">
      <c r="A15" s="397" t="inlineStr">
        <is>
          <t>Track only current release blockers and required actions.</t>
        </is>
      </c>
      <c r="B15" s="289" t="n"/>
      <c r="C15" s="289" t="n"/>
      <c r="D15" s="289" t="n"/>
      <c r="E15" s="289" t="n"/>
      <c r="F15" s="289" t="n"/>
      <c r="G15" s="289" t="n"/>
      <c r="H15" s="289" t="n"/>
      <c r="I15" s="290" t="n"/>
    </row>
    <row r="16" ht="18" customHeight="1">
      <c r="A16" s="377" t="inlineStr">
        <is>
          <t>#</t>
        </is>
      </c>
      <c r="B16" s="378" t="inlineStr">
        <is>
          <t>Blocker / Constraint</t>
        </is>
      </c>
      <c r="C16" s="378" t="inlineStr">
        <is>
          <t>Impact</t>
        </is>
      </c>
      <c r="D16" s="378" t="inlineStr">
        <is>
          <t>Required Action</t>
        </is>
      </c>
      <c r="E16" s="378" t="inlineStr">
        <is>
          <t>Owner</t>
        </is>
      </c>
      <c r="F16" s="378" t="inlineStr">
        <is>
          <t>Due Date</t>
        </is>
      </c>
      <c r="G16" s="378" t="inlineStr">
        <is>
          <t>Escalation</t>
        </is>
      </c>
      <c r="H16" s="378" t="inlineStr">
        <is>
          <t>Status</t>
        </is>
      </c>
      <c r="I16" s="379" t="inlineStr">
        <is>
          <t>Evidence Ref</t>
        </is>
      </c>
    </row>
    <row r="17" ht="20" customHeight="1">
      <c r="A17" s="380">
        <f>ROW()-ROW($A$17)+1</f>
        <v/>
      </c>
      <c r="B17" s="381" t="n"/>
      <c r="C17" s="381" t="n"/>
      <c r="D17" s="381" t="n"/>
      <c r="E17" s="381" t="n"/>
      <c r="F17" s="382" t="n"/>
      <c r="G17" s="381" t="n"/>
      <c r="H17" s="381" t="n"/>
      <c r="I17" s="349" t="n"/>
    </row>
    <row r="18" ht="20" customHeight="1">
      <c r="A18" s="380">
        <f>ROW()-ROW($A$17)+1</f>
        <v/>
      </c>
      <c r="B18" s="383" t="n"/>
      <c r="C18" s="383" t="n"/>
      <c r="D18" s="383" t="n"/>
      <c r="E18" s="383" t="n"/>
      <c r="F18" s="384" t="n"/>
      <c r="G18" s="383" t="n"/>
      <c r="H18" s="383" t="n"/>
      <c r="I18" s="385" t="n"/>
    </row>
    <row r="19" ht="20" customHeight="1">
      <c r="A19" s="380">
        <f>ROW()-ROW($A$17)+1</f>
        <v/>
      </c>
      <c r="B19" s="381" t="n"/>
      <c r="C19" s="381" t="n"/>
      <c r="D19" s="381" t="n"/>
      <c r="E19" s="381" t="n"/>
      <c r="F19" s="382" t="n"/>
      <c r="G19" s="381" t="n"/>
      <c r="H19" s="381" t="n"/>
      <c r="I19" s="349" t="n"/>
    </row>
    <row r="20" ht="20" customHeight="1">
      <c r="A20" s="380">
        <f>ROW()-ROW($A$17)+1</f>
        <v/>
      </c>
      <c r="B20" s="383" t="n"/>
      <c r="C20" s="383" t="n"/>
      <c r="D20" s="383" t="n"/>
      <c r="E20" s="383" t="n"/>
      <c r="F20" s="384" t="n"/>
      <c r="G20" s="383" t="n"/>
      <c r="H20" s="383" t="n"/>
      <c r="I20" s="385" t="n"/>
    </row>
    <row r="21" ht="20" customHeight="1">
      <c r="A21" s="380">
        <f>ROW()-ROW($A$17)+1</f>
        <v/>
      </c>
      <c r="B21" s="381" t="n"/>
      <c r="C21" s="381" t="n"/>
      <c r="D21" s="381" t="n"/>
      <c r="E21" s="381" t="n"/>
      <c r="F21" s="382" t="n"/>
      <c r="G21" s="381" t="n"/>
      <c r="H21" s="381" t="n"/>
      <c r="I21" s="349" t="n"/>
    </row>
    <row r="22" ht="20" customHeight="1">
      <c r="A22" s="380">
        <f>ROW()-ROW($A$17)+1</f>
        <v/>
      </c>
      <c r="B22" s="383" t="n"/>
      <c r="C22" s="383" t="n"/>
      <c r="D22" s="383" t="n"/>
      <c r="E22" s="383" t="n"/>
      <c r="F22" s="384" t="n"/>
      <c r="G22" s="383" t="n"/>
      <c r="H22" s="383" t="n"/>
      <c r="I22" s="385" t="n"/>
    </row>
    <row r="23" ht="20" customHeight="1">
      <c r="A23" s="380">
        <f>ROW()-ROW($A$17)+1</f>
        <v/>
      </c>
      <c r="B23" s="381" t="n"/>
      <c r="C23" s="381" t="n"/>
      <c r="D23" s="381" t="n"/>
      <c r="E23" s="381" t="n"/>
      <c r="F23" s="382" t="n"/>
      <c r="G23" s="381" t="n"/>
      <c r="H23" s="381" t="n"/>
      <c r="I23" s="349" t="n"/>
    </row>
    <row r="24" ht="20" customHeight="1">
      <c r="A24" s="380">
        <f>ROW()-ROW($A$17)+1</f>
        <v/>
      </c>
      <c r="B24" s="383" t="n"/>
      <c r="C24" s="383" t="n"/>
      <c r="D24" s="383" t="n"/>
      <c r="E24" s="383" t="n"/>
      <c r="F24" s="384" t="n"/>
      <c r="G24" s="383" t="n"/>
      <c r="H24" s="383" t="n"/>
      <c r="I24" s="385" t="n"/>
    </row>
    <row r="25" ht="20" customHeight="1">
      <c r="A25" s="380">
        <f>ROW()-ROW($A$17)+1</f>
        <v/>
      </c>
      <c r="B25" s="381" t="n"/>
      <c r="C25" s="381" t="n"/>
      <c r="D25" s="381" t="n"/>
      <c r="E25" s="381" t="n"/>
      <c r="F25" s="382" t="n"/>
      <c r="G25" s="381" t="n"/>
      <c r="H25" s="381" t="n"/>
      <c r="I25" s="349" t="n"/>
    </row>
    <row r="26" ht="20" customHeight="1">
      <c r="A26" s="386">
        <f>ROW()-ROW($A$17)+1</f>
        <v/>
      </c>
      <c r="B26" s="387" t="n"/>
      <c r="C26" s="387" t="n"/>
      <c r="D26" s="387" t="n"/>
      <c r="E26" s="387" t="n"/>
      <c r="F26" s="388" t="n"/>
      <c r="G26" s="387" t="n"/>
      <c r="H26" s="387" t="n"/>
      <c r="I26" s="389" t="n"/>
    </row>
    <row r="28" ht="24" customHeight="1">
      <c r="A28" s="397" t="inlineStr">
        <is>
          <t>NOTICE  —  Track only current release blockers and required actions.  Maintain traceability to the parent form and approved evidence references. Do not add, delete or resize structured columns. Keep dropdown values, review dates and status fields controlled.</t>
        </is>
      </c>
      <c r="B28" s="289" t="n"/>
      <c r="C28" s="289" t="n"/>
      <c r="D28" s="289" t="n"/>
      <c r="E28" s="289" t="n"/>
      <c r="F28" s="289" t="n"/>
      <c r="G28" s="289" t="n"/>
      <c r="H28" s="289" t="n"/>
      <c r="I28" s="290" t="n"/>
    </row>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30">
    <mergeCell ref="A7:I7"/>
    <mergeCell ref="F11:G11"/>
    <mergeCell ref="F10:G10"/>
    <mergeCell ref="H10:I10"/>
    <mergeCell ref="A11:B11"/>
    <mergeCell ref="C9:E9"/>
    <mergeCell ref="C5:G5"/>
    <mergeCell ref="C12:E12"/>
    <mergeCell ref="H9:I9"/>
    <mergeCell ref="C4:G4"/>
    <mergeCell ref="C11:E11"/>
    <mergeCell ref="F12:G12"/>
    <mergeCell ref="A14:I14"/>
    <mergeCell ref="C8:E8"/>
    <mergeCell ref="A1:B5"/>
    <mergeCell ref="F8:G8"/>
    <mergeCell ref="A12:B12"/>
    <mergeCell ref="H11:I11"/>
    <mergeCell ref="C1:G3"/>
    <mergeCell ref="A28:I28"/>
    <mergeCell ref="A13:I13"/>
    <mergeCell ref="A8:B8"/>
    <mergeCell ref="F9:G9"/>
    <mergeCell ref="A15:I15"/>
    <mergeCell ref="H12:I12"/>
    <mergeCell ref="A10:B10"/>
    <mergeCell ref="A6:I6"/>
    <mergeCell ref="H8:I8"/>
    <mergeCell ref="A9:B9"/>
    <mergeCell ref="C10:E10"/>
  </mergeCells>
  <dataValidations count="2">
    <dataValidation sqref="E17:E26" showDropDown="0" showInputMessage="0" showErrorMessage="0" allowBlank="1" error="Use controlled value from REF_OWNER_PERSON_MASTER." prompt="Select from REF_OWNER_PERSON_MASTER." type="list">
      <formula1>=REF_OWNER_PERSON_MASTER</formula1>
    </dataValidation>
    <dataValidation sqref="H17:H26" showDropDown="0" showInputMessage="0" showErrorMessage="0" allowBlank="1" error="Use controlled value from VAL_STATUS_CORE." prompt="Select from VAL_STATUS_CORE." type="list">
      <formula1>=VAL_STATUS_CORE</formula1>
    </dataValidation>
  </dataValidations>
  <printOptions gridLines="0"/>
  <pageMargins left="0.197" right="0.197" top="0.197" bottom="0.197" header="0.1" footer="0.1"/>
  <pageSetup orientation="portrait" paperSize="9" fitToHeight="0" fitToWidth="1"/>
  <headerFooter>
    <oddHeader/>
    <oddFooter>&amp;CFRM-501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G11"/>
  <sheetViews>
    <sheetView showGridLines="0" tabSelected="0" topLeftCell="A1" workbookViewId="0">
      <pane ySplit="3" topLeftCell="A4" activePane="bottomLeft" state="frozen"/>
      <selection pane="bottomLeft" activeCell="A1" sqref="A1"/>
    </sheetView>
  </sheetViews>
  <sheetFormatPr baseColWidth="8" defaultRowHeight="15"/>
  <cols>
    <col width="16" customWidth="1" min="1" max="1"/>
    <col width="30" customWidth="1" min="2" max="2"/>
    <col width="18" customWidth="1" min="3" max="3"/>
    <col width="22" customWidth="1" min="4" max="4"/>
    <col width="18" customWidth="1" min="5" max="5"/>
    <col width="14" customWidth="1" min="6" max="6"/>
    <col width="24" customWidth="1" min="7" max="7"/>
    <col hidden="1" width="13" customWidth="1" min="8" max="16384"/>
  </cols>
  <sheetData>
    <row r="1">
      <c r="A1" s="326" t="inlineStr">
        <is>
          <t>REF LINKS</t>
        </is>
      </c>
      <c r="B1" s="334" t="n"/>
      <c r="C1" s="334" t="n"/>
      <c r="D1" s="334" t="n"/>
      <c r="E1" s="334" t="n"/>
      <c r="F1" s="334" t="n"/>
      <c r="G1" s="335" t="n"/>
    </row>
    <row r="2">
      <c r="A2" s="327" t="inlineStr">
        <is>
          <t>Reference Epicor, planner snapshot and supporting evidence only.</t>
        </is>
      </c>
    </row>
    <row r="3">
      <c r="A3" s="328" t="inlineStr">
        <is>
          <t>Ref Type</t>
        </is>
      </c>
      <c r="B3" s="328" t="inlineStr">
        <is>
          <t>Document / Record</t>
        </is>
      </c>
      <c r="C3" s="328" t="inlineStr">
        <is>
          <t>System of Record</t>
        </is>
      </c>
      <c r="D3" s="328" t="inlineStr">
        <is>
          <t>Unique Ref</t>
        </is>
      </c>
      <c r="E3" s="328" t="inlineStr">
        <is>
          <t>Owner</t>
        </is>
      </c>
      <c r="F3" s="328" t="inlineStr">
        <is>
          <t>Status</t>
        </is>
      </c>
      <c r="G3" s="328" t="inlineStr">
        <is>
          <t>Note</t>
        </is>
      </c>
    </row>
    <row r="4">
      <c r="A4" s="308" t="n"/>
      <c r="B4" s="308" t="n"/>
      <c r="C4" s="308" t="n"/>
      <c r="D4" s="308" t="n"/>
      <c r="E4" s="308" t="n"/>
      <c r="F4" s="308" t="n"/>
      <c r="G4" s="308" t="n"/>
    </row>
    <row r="5">
      <c r="A5" s="331" t="n"/>
      <c r="B5" s="331" t="n"/>
      <c r="C5" s="331" t="n"/>
      <c r="D5" s="331" t="n"/>
      <c r="E5" s="331" t="n"/>
      <c r="F5" s="331" t="n"/>
      <c r="G5" s="331" t="n"/>
    </row>
    <row r="6">
      <c r="A6" s="308" t="n"/>
      <c r="B6" s="308" t="n"/>
      <c r="C6" s="308" t="n"/>
      <c r="D6" s="308" t="n"/>
      <c r="E6" s="308" t="n"/>
      <c r="F6" s="308" t="n"/>
      <c r="G6" s="308" t="n"/>
    </row>
    <row r="7">
      <c r="A7" s="331" t="n"/>
      <c r="B7" s="331" t="n"/>
      <c r="C7" s="331" t="n"/>
      <c r="D7" s="331" t="n"/>
      <c r="E7" s="331" t="n"/>
      <c r="F7" s="331" t="n"/>
      <c r="G7" s="331" t="n"/>
    </row>
    <row r="8">
      <c r="A8" s="308" t="n"/>
      <c r="B8" s="308" t="n"/>
      <c r="C8" s="308" t="n"/>
      <c r="D8" s="308" t="n"/>
      <c r="E8" s="308" t="n"/>
      <c r="F8" s="308" t="n"/>
      <c r="G8" s="308" t="n"/>
    </row>
    <row r="9">
      <c r="A9" s="331" t="n"/>
      <c r="B9" s="331" t="n"/>
      <c r="C9" s="331" t="n"/>
      <c r="D9" s="331" t="n"/>
      <c r="E9" s="331" t="n"/>
      <c r="F9" s="331" t="n"/>
      <c r="G9" s="331" t="n"/>
    </row>
    <row r="10">
      <c r="A10" s="308" t="n"/>
      <c r="B10" s="308" t="n"/>
      <c r="C10" s="308" t="n"/>
      <c r="D10" s="308" t="n"/>
      <c r="E10" s="308" t="n"/>
      <c r="F10" s="308" t="n"/>
      <c r="G10" s="308" t="n"/>
    </row>
    <row r="11">
      <c r="A11" s="331" t="n"/>
      <c r="B11" s="331" t="n"/>
      <c r="C11" s="331" t="n"/>
      <c r="D11" s="331" t="n"/>
      <c r="E11" s="331" t="n"/>
      <c r="F11" s="331" t="n"/>
      <c r="G11" s="331"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2">
    <dataValidation sqref="E4:E11" showDropDown="0" showInputMessage="0" showErrorMessage="0" allowBlank="1" error="Use controlled value from REF_OWNER_PERSON_MASTER." prompt="Select from REF_OWNER_PERSON_MASTER." type="list">
      <formula1>=REF_OWNER_PERSON_MASTER</formula1>
    </dataValidation>
    <dataValidation sqref="F4:F11" showDropDown="0" showInputMessage="0" showErrorMessage="0" allowBlank="1" error="Use controlled value from VAL_STATUS_CORE." prompt="Select from VAL_STATUS_CORE." type="list">
      <formula1>=VAL_STATUS_CORE</formula1>
    </dataValidation>
  </dataValidations>
  <printOptions headings="0" gridLines="0"/>
  <pageMargins left="0.197" right="0.197" top="0.197" bottom="0.197" header="0.1" footer="0.1"/>
  <pageSetup orientation="portrait" paperSize="9" fitToHeight="0" fitToWidth="1"/>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2026-03-20T00:26:31Z</dcterms:created>
  <dcterms:modified xmlns:dcterms="http://purl.org/dc/terms/" xmlns:xsi="http://www.w3.org/2001/XMLSchema-instance" xsi:type="dcterms:W3CDTF">2026-03-22T09:58:25Z</dcterms:modified>
</cp:coreProperties>
</file>