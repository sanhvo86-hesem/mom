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P_RESULTS" sheetId="4" state="veryHidden" r:id="rId4"/>
    <sheet xmlns:r="http://schemas.openxmlformats.org/officeDocument/2006/relationships" name="ADJUSTMENTS" sheetId="5" state="veryHidden" r:id="rId5"/>
    <sheet xmlns:r="http://schemas.openxmlformats.org/officeDocument/2006/relationships" name="REF_LINKS" sheetId="6" state="veryHidden" r:id="rId6"/>
    <sheet xmlns:r="http://schemas.openxmlformats.org/officeDocument/2006/relationships" name="_REVHIST" sheetId="7" state="hidden" r:id="rId7"/>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F1F5F9"/>
        <bgColor rgb="00F1F5F9"/>
      </patternFill>
    </fill>
    <fill>
      <patternFill patternType="solid">
        <fgColor rgb="00FFFFFF"/>
        <bgColor rgb="00FFFFFF"/>
      </patternFill>
    </fill>
    <fill>
      <patternFill patternType="solid">
        <fgColor rgb="00D8E6FF"/>
        <bgColor rgb="00D8E6FF"/>
      </patternFill>
    </fill>
    <fill>
      <patternFill patternType="solid">
        <fgColor rgb="00F8FAFC"/>
        <bgColor rgb="00F8FAFC"/>
      </patternFill>
    </fill>
    <fill>
      <patternFill patternType="solid">
        <fgColor rgb="00D7F0E2"/>
        <bgColor rgb="00D7F0E2"/>
      </patternFill>
    </fill>
    <fill>
      <patternFill patternType="solid">
        <fgColor rgb="00FFF3C4"/>
        <bgColor rgb="00FFF3C4"/>
      </patternFill>
    </fill>
    <fill>
      <patternFill patternType="solid">
        <fgColor rgb="00005A9E"/>
        <bgColor rgb="00005A9E"/>
      </patternFill>
    </fill>
  </fills>
  <borders count="29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E2E8F0"/>
      </right>
      <top style="thin">
        <color rgb="000078D4"/>
      </top>
      <bottom style="thin">
        <color rgb="000078D4"/>
      </bottom>
    </border>
    <border>
      <left style="thin">
        <color rgb="00E2E8F0"/>
      </left>
      <right style="thin">
        <color rgb="00E2E8F0"/>
      </right>
      <top style="thin">
        <color rgb="000078D4"/>
      </top>
      <bottom style="thin">
        <color rgb="000078D4"/>
      </bottom>
    </border>
  </borders>
  <cellStyleXfs count="1">
    <xf numFmtId="0" fontId="0" fillId="0" borderId="0"/>
  </cellStyleXfs>
  <cellXfs count="41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12" fillId="56" borderId="290" applyAlignment="1" pivotButton="0" quotePrefix="0" xfId="0">
      <alignment horizontal="left" vertical="center"/>
    </xf>
    <xf numFmtId="0" fontId="6" fillId="57" borderId="291" applyAlignment="1" applyProtection="1" pivotButton="0" quotePrefix="0" xfId="0">
      <alignment horizontal="left" vertical="center"/>
      <protection locked="0" hidden="0"/>
    </xf>
    <xf numFmtId="0" fontId="12" fillId="56" borderId="291" applyAlignment="1" pivotButton="0" quotePrefix="0" xfId="0">
      <alignment horizontal="left" vertical="center"/>
    </xf>
    <xf numFmtId="0" fontId="6" fillId="57" borderId="285" applyAlignment="1" applyProtection="1" pivotButton="0" quotePrefix="0" xfId="0">
      <alignment horizontal="left" vertical="center"/>
      <protection locked="0" hidden="0"/>
    </xf>
    <xf numFmtId="0" fontId="10" fillId="56" borderId="291" applyAlignment="1" pivotButton="0" quotePrefix="0" xfId="0">
      <alignment horizontal="left" vertical="center"/>
    </xf>
    <xf numFmtId="0" fontId="12" fillId="56" borderId="290" applyAlignment="1" pivotButton="0" quotePrefix="0" xfId="0">
      <alignment horizontal="center" vertical="center"/>
    </xf>
    <xf numFmtId="0" fontId="14" fillId="58" borderId="291" applyAlignment="1" pivotButton="0" quotePrefix="0" xfId="0">
      <alignment horizontal="center" vertical="center"/>
    </xf>
    <xf numFmtId="0" fontId="6" fillId="57" borderId="291" applyAlignment="1" pivotButton="0" quotePrefix="0" xfId="0">
      <alignment horizontal="left" vertical="center" wrapText="1"/>
    </xf>
    <xf numFmtId="0" fontId="6" fillId="56" borderId="291" applyAlignment="1" pivotButton="0" quotePrefix="0" xfId="0">
      <alignment horizontal="left" vertical="center" wrapText="1"/>
    </xf>
    <xf numFmtId="0" fontId="6" fillId="57" borderId="291" applyAlignment="1" applyProtection="1" pivotButton="0" quotePrefix="0" xfId="0">
      <alignment horizontal="center" vertical="center"/>
      <protection locked="0" hidden="0"/>
    </xf>
    <xf numFmtId="0" fontId="6" fillId="57" borderId="285" applyAlignment="1" applyProtection="1" pivotButton="0" quotePrefix="0" xfId="0">
      <alignment horizontal="center" vertical="center"/>
      <protection locked="0" hidden="0"/>
    </xf>
    <xf numFmtId="0" fontId="6" fillId="59" borderId="291" applyAlignment="1" pivotButton="0" quotePrefix="0" xfId="0">
      <alignment horizontal="left" vertical="center" wrapText="1"/>
    </xf>
    <xf numFmtId="0" fontId="14" fillId="60" borderId="291" applyAlignment="1" pivotButton="0" quotePrefix="0" xfId="0">
      <alignment horizontal="center" vertical="center"/>
    </xf>
    <xf numFmtId="0" fontId="14" fillId="61" borderId="291" applyAlignment="1" pivotButton="0" quotePrefix="0" xfId="0">
      <alignment horizontal="center" vertical="center"/>
    </xf>
    <xf numFmtId="0" fontId="4" fillId="62" borderId="0" applyAlignment="1" pivotButton="0" quotePrefix="0" xfId="0">
      <alignment horizontal="center" vertical="center"/>
    </xf>
    <xf numFmtId="0" fontId="6" fillId="0" borderId="0" pivotButton="0" quotePrefix="0" xfId="0"/>
  </cellXfs>
  <cellStyles count="1">
    <cellStyle name="Normal" xfId="0"/>
  </cellStyles>
  <dxfs count="4">
    <dxf>
      <font>
        <b val="1"/>
        <color rgb="00CC0000"/>
      </font>
      <fill>
        <patternFill patternType="solid">
          <fgColor rgb="00FFCCCC"/>
          <bgColor rgb="00FFCCCC"/>
        </patternFill>
      </fill>
    </dxf>
    <dxf>
      <fill>
        <patternFill patternType="solid">
          <fgColor rgb="00FFF3C4"/>
          <bgColor rgb="00FFF3C4"/>
        </patternFill>
      </fill>
    </dxf>
    <dxf>
      <fill>
        <patternFill patternType="solid">
          <fgColor rgb="00D7F0E2"/>
          <bgColor rgb="00D7F0E2"/>
        </patternFill>
      </fill>
    </dxf>
    <dxf>
      <fill>
        <patternFill patternType="solid">
          <fgColor rgb="00DBEAFE"/>
          <bgColor rgb="00DBEAF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56"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56"/>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SETUP AND FIRST-PIECE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V1</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2026-03-22</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Production / QA</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General Manager</t>
        </is>
      </c>
      <c r="AX5" s="283" t="n"/>
      <c r="AY5" s="283" t="n"/>
      <c r="AZ5" s="283" t="n"/>
      <c r="BA5" s="283" t="n"/>
      <c r="BB5" s="283" t="n"/>
      <c r="BC5" s="283" t="n"/>
      <c r="BD5" s="287" t="n"/>
    </row>
    <row r="6" ht="4" customHeight="1">
      <c r="A6" s="25" t="inlineStr"/>
    </row>
    <row r="7" ht="17" customHeight="1">
      <c r="A7" s="288" t="inlineStr">
        <is>
          <t>1.  SETUP / FIRST-PIECE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Part No. / Revision</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Machine / Cell</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Operation / Route Step</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Setup Technician</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QA Reviewer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CNC Program / Rev</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Fixture ID</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Setup Time (min)</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20" customHeight="1">
      <c r="A13" s="398" t="inlineStr">
        <is>
          <t>Coolant Type / Concentration</t>
        </is>
      </c>
      <c r="K13" s="399" t="n"/>
      <c r="AC13" s="400" t="inlineStr">
        <is>
          <t>Offset Values Recorded?</t>
        </is>
      </c>
      <c r="AJ13" s="401" t="n"/>
    </row>
    <row r="14" ht="20" customHeight="1">
      <c r="A14" s="398" t="inlineStr">
        <is>
          <t>Drawing Rev = Program Rev?</t>
        </is>
      </c>
      <c r="K14" s="399" t="n"/>
      <c r="AC14" s="400" t="inlineStr">
        <is>
          <t>Linked FRM-302 Setup Sheet #</t>
        </is>
      </c>
      <c r="AJ14" s="401" t="n"/>
    </row>
    <row r="15" ht="20" customHeight="1">
      <c r="A15" s="398" t="inlineStr">
        <is>
          <t>Ref: SOP-504 / WI-517, WI-519</t>
        </is>
      </c>
      <c r="K15" s="402" t="inlineStr">
        <is>
          <t>SOP-504 (Setup, First-Piece, Run Release)</t>
        </is>
      </c>
      <c r="AC15" s="400" t="inlineStr">
        <is>
          <t>Linked FRM-519 Pre-Run #</t>
        </is>
      </c>
      <c r="AJ15" s="401" t="n"/>
    </row>
    <row r="16" ht="20" customHeight="1">
      <c r="A16" s="25" t="n"/>
    </row>
    <row r="17" ht="20" customHeight="1">
      <c r="A17" s="288" t="inlineStr">
        <is>
          <t>2.  RUN DECISION / RELEASE BLOCK</t>
        </is>
      </c>
      <c r="B17" s="289" t="n"/>
      <c r="C17" s="289" t="n"/>
      <c r="D17" s="289" t="n"/>
      <c r="E17" s="289" t="n"/>
      <c r="F17" s="289" t="n"/>
      <c r="G17" s="289" t="n"/>
      <c r="H17" s="289" t="n"/>
      <c r="I17" s="289" t="n"/>
      <c r="J17" s="289" t="n"/>
      <c r="K17" s="289" t="n"/>
      <c r="L17" s="289" t="n"/>
      <c r="M17" s="289" t="n"/>
      <c r="N17" s="289" t="n"/>
      <c r="O17" s="289" t="n"/>
      <c r="P17" s="289" t="n"/>
      <c r="Q17" s="289" t="n"/>
      <c r="R17" s="289" t="n"/>
      <c r="S17" s="289" t="n"/>
      <c r="T17" s="289" t="n"/>
      <c r="U17" s="289" t="n"/>
      <c r="V17" s="289" t="n"/>
      <c r="W17" s="289" t="n"/>
      <c r="X17" s="289" t="n"/>
      <c r="Y17" s="289" t="n"/>
      <c r="Z17" s="289" t="n"/>
      <c r="AA17" s="289" t="n"/>
      <c r="AB17" s="289" t="n"/>
      <c r="AC17" s="289" t="n"/>
      <c r="AD17" s="289" t="n"/>
      <c r="AE17" s="289" t="n"/>
      <c r="AF17" s="289" t="n"/>
      <c r="AG17" s="289" t="n"/>
      <c r="AH17" s="289" t="n"/>
      <c r="AI17" s="289" t="n"/>
      <c r="AJ17" s="289" t="n"/>
      <c r="AK17" s="289" t="n"/>
      <c r="AL17" s="289" t="n"/>
      <c r="AM17" s="289" t="n"/>
      <c r="AN17" s="289" t="n"/>
      <c r="AO17" s="289" t="n"/>
      <c r="AP17" s="289" t="n"/>
      <c r="AQ17" s="289" t="n"/>
      <c r="AR17" s="289" t="n"/>
      <c r="AS17" s="289" t="n"/>
      <c r="AT17" s="289" t="n"/>
      <c r="AU17" s="289" t="n"/>
      <c r="AV17" s="289" t="n"/>
      <c r="AW17" s="289" t="n"/>
      <c r="AX17" s="289" t="n"/>
      <c r="AY17" s="289" t="n"/>
      <c r="AZ17" s="289" t="n"/>
      <c r="BA17" s="289" t="n"/>
      <c r="BB17" s="289" t="n"/>
      <c r="BC17" s="289" t="n"/>
      <c r="BD17" s="290" t="n"/>
    </row>
    <row r="18" ht="20" customHeight="1">
      <c r="A18" s="291" t="inlineStr">
        <is>
          <t>Release Trigger</t>
        </is>
      </c>
      <c r="B18" s="271" t="n"/>
      <c r="C18" s="271" t="n"/>
      <c r="D18" s="271" t="n"/>
      <c r="E18" s="271" t="n"/>
      <c r="F18" s="271" t="n"/>
      <c r="G18" s="271" t="n"/>
      <c r="H18" s="271" t="n"/>
      <c r="I18" s="271" t="n"/>
      <c r="J18" s="272" t="n"/>
      <c r="K18" s="292" t="inlineStr">
        <is>
          <t>After setup and first-piece verification</t>
        </is>
      </c>
      <c r="L18" s="271" t="n"/>
      <c r="M18" s="271" t="n"/>
      <c r="N18" s="271" t="n"/>
      <c r="O18" s="271" t="n"/>
      <c r="P18" s="271" t="n"/>
      <c r="Q18" s="271" t="n"/>
      <c r="R18" s="271" t="n"/>
      <c r="S18" s="271" t="n"/>
      <c r="T18" s="271" t="n"/>
      <c r="U18" s="271" t="n"/>
      <c r="V18" s="271" t="n"/>
      <c r="W18" s="271" t="n"/>
      <c r="X18" s="271" t="n"/>
      <c r="Y18" s="271" t="n"/>
      <c r="Z18" s="271" t="n"/>
      <c r="AA18" s="271" t="n"/>
      <c r="AB18" s="272" t="n"/>
      <c r="AC18" s="293" t="inlineStr">
        <is>
          <t>Run Decision</t>
        </is>
      </c>
      <c r="AD18" s="271" t="n"/>
      <c r="AE18" s="271" t="n"/>
      <c r="AF18" s="271" t="n"/>
      <c r="AG18" s="271" t="n"/>
      <c r="AH18" s="271" t="n"/>
      <c r="AI18" s="271" t="n"/>
      <c r="AJ18" s="271" t="n"/>
      <c r="AK18" s="271" t="n"/>
      <c r="AL18" s="272" t="n"/>
      <c r="AM18" s="294">
        <f>IF(COUNTA(AR25:AR40)=0,"",IF(COUNTIF(AR25:AR40,"FAIL")+COUNTIF(AR25:AR40,"HOLD")&gt;0,"HOLD FOR ENGINEERING",IF(COUNTIF(AR25:AR40,"PASS")=COUNTA(AR25:AR40),"PASS TO RUN","RE-SETUP AND RECHECK")))</f>
        <v/>
      </c>
      <c r="AN18" s="271" t="n"/>
      <c r="AO18" s="271" t="n"/>
      <c r="AP18" s="271" t="n"/>
      <c r="AQ18" s="271" t="n"/>
      <c r="AR18" s="271" t="n"/>
      <c r="AS18" s="271" t="n"/>
      <c r="AT18" s="271" t="n"/>
      <c r="AU18" s="271" t="n"/>
      <c r="AV18" s="271" t="n"/>
      <c r="AW18" s="271" t="n"/>
      <c r="AX18" s="271" t="n"/>
      <c r="AY18" s="271" t="n"/>
      <c r="AZ18" s="271" t="n"/>
      <c r="BA18" s="271" t="n"/>
      <c r="BB18" s="271" t="n"/>
      <c r="BC18" s="271" t="n"/>
      <c r="BD18" s="274" t="n"/>
    </row>
    <row r="19" ht="4" customHeight="1">
      <c r="A19" s="295" t="inlineStr">
        <is>
          <t>Top Nonconformance / Hold</t>
        </is>
      </c>
      <c r="B19" s="277" t="n"/>
      <c r="C19" s="277" t="n"/>
      <c r="D19" s="277" t="n"/>
      <c r="E19" s="277" t="n"/>
      <c r="F19" s="277" t="n"/>
      <c r="G19" s="277" t="n"/>
      <c r="H19" s="277" t="n"/>
      <c r="I19" s="277" t="n"/>
      <c r="J19" s="278" t="n"/>
      <c r="K19" s="296" t="inlineStr"/>
      <c r="L19" s="277" t="n"/>
      <c r="M19" s="277" t="n"/>
      <c r="N19" s="277" t="n"/>
      <c r="O19" s="277" t="n"/>
      <c r="P19" s="277" t="n"/>
      <c r="Q19" s="277" t="n"/>
      <c r="R19" s="277" t="n"/>
      <c r="S19" s="277" t="n"/>
      <c r="T19" s="277" t="n"/>
      <c r="U19" s="277" t="n"/>
      <c r="V19" s="277" t="n"/>
      <c r="W19" s="277" t="n"/>
      <c r="X19" s="277" t="n"/>
      <c r="Y19" s="277" t="n"/>
      <c r="Z19" s="277" t="n"/>
      <c r="AA19" s="277" t="n"/>
      <c r="AB19" s="278" t="n"/>
      <c r="AC19" s="297" t="inlineStr">
        <is>
          <t>Next Step</t>
        </is>
      </c>
      <c r="AD19" s="277" t="n"/>
      <c r="AE19" s="277" t="n"/>
      <c r="AF19" s="277" t="n"/>
      <c r="AG19" s="277" t="n"/>
      <c r="AH19" s="277" t="n"/>
      <c r="AI19" s="277" t="n"/>
      <c r="AJ19" s="277" t="n"/>
      <c r="AK19" s="277" t="n"/>
      <c r="AL19" s="278" t="n"/>
      <c r="AM19" s="279" t="inlineStr"/>
      <c r="AN19" s="277" t="n"/>
      <c r="AO19" s="277" t="n"/>
      <c r="AP19" s="277" t="n"/>
      <c r="AQ19" s="277" t="n"/>
      <c r="AR19" s="277" t="n"/>
      <c r="AS19" s="277" t="n"/>
      <c r="AT19" s="277" t="n"/>
      <c r="AU19" s="277" t="n"/>
      <c r="AV19" s="277" t="n"/>
      <c r="AW19" s="277" t="n"/>
      <c r="AX19" s="277" t="n"/>
      <c r="AY19" s="277" t="n"/>
      <c r="AZ19" s="277" t="n"/>
      <c r="BA19" s="277" t="n"/>
      <c r="BB19" s="277" t="n"/>
      <c r="BC19" s="277" t="n"/>
      <c r="BD19" s="280" t="n"/>
    </row>
    <row r="20" ht="17" customHeight="1">
      <c r="A20" s="295" t="inlineStr">
        <is>
          <t>Action Owner</t>
        </is>
      </c>
      <c r="B20" s="277" t="n"/>
      <c r="C20" s="277" t="n"/>
      <c r="D20" s="277" t="n"/>
      <c r="E20" s="277" t="n"/>
      <c r="F20" s="277" t="n"/>
      <c r="G20" s="277" t="n"/>
      <c r="H20" s="277" t="n"/>
      <c r="I20" s="277" t="n"/>
      <c r="J20" s="278" t="n"/>
      <c r="K20" s="296" t="inlineStr"/>
      <c r="L20" s="277" t="n"/>
      <c r="M20" s="277" t="n"/>
      <c r="N20" s="277" t="n"/>
      <c r="O20" s="277" t="n"/>
      <c r="P20" s="277" t="n"/>
      <c r="Q20" s="277" t="n"/>
      <c r="R20" s="277" t="n"/>
      <c r="S20" s="277" t="n"/>
      <c r="T20" s="277" t="n"/>
      <c r="U20" s="277" t="n"/>
      <c r="V20" s="277" t="n"/>
      <c r="W20" s="277" t="n"/>
      <c r="X20" s="277" t="n"/>
      <c r="Y20" s="277" t="n"/>
      <c r="Z20" s="277" t="n"/>
      <c r="AA20" s="277" t="n"/>
      <c r="AB20" s="278" t="n"/>
      <c r="AC20" s="297" t="inlineStr">
        <is>
          <t>Due Date</t>
        </is>
      </c>
      <c r="AD20" s="277" t="n"/>
      <c r="AE20" s="277" t="n"/>
      <c r="AF20" s="277" t="n"/>
      <c r="AG20" s="277" t="n"/>
      <c r="AH20" s="277" t="n"/>
      <c r="AI20" s="277" t="n"/>
      <c r="AJ20" s="277" t="n"/>
      <c r="AK20" s="277" t="n"/>
      <c r="AL20" s="278" t="n"/>
      <c r="AM20" s="279" t="inlineStr"/>
      <c r="AN20" s="277" t="n"/>
      <c r="AO20" s="277" t="n"/>
      <c r="AP20" s="277" t="n"/>
      <c r="AQ20" s="277" t="n"/>
      <c r="AR20" s="277" t="n"/>
      <c r="AS20" s="277" t="n"/>
      <c r="AT20" s="277" t="n"/>
      <c r="AU20" s="277" t="n"/>
      <c r="AV20" s="277" t="n"/>
      <c r="AW20" s="277" t="n"/>
      <c r="AX20" s="277" t="n"/>
      <c r="AY20" s="277" t="n"/>
      <c r="AZ20" s="277" t="n"/>
      <c r="BA20" s="277" t="n"/>
      <c r="BB20" s="277" t="n"/>
      <c r="BC20" s="277" t="n"/>
      <c r="BD20" s="280" t="n"/>
    </row>
    <row r="21" ht="17" customHeight="1">
      <c r="A21" s="298" t="inlineStr">
        <is>
          <t>Escalation if Hold</t>
        </is>
      </c>
      <c r="B21" s="283" t="n"/>
      <c r="C21" s="283" t="n"/>
      <c r="D21" s="283" t="n"/>
      <c r="E21" s="283" t="n"/>
      <c r="F21" s="283" t="n"/>
      <c r="G21" s="283" t="n"/>
      <c r="H21" s="283" t="n"/>
      <c r="I21" s="283" t="n"/>
      <c r="J21" s="285" t="n"/>
      <c r="K21" s="299" t="inlineStr"/>
      <c r="L21" s="283" t="n"/>
      <c r="M21" s="283" t="n"/>
      <c r="N21" s="283" t="n"/>
      <c r="O21" s="283" t="n"/>
      <c r="P21" s="283" t="n"/>
      <c r="Q21" s="283" t="n"/>
      <c r="R21" s="283" t="n"/>
      <c r="S21" s="283" t="n"/>
      <c r="T21" s="283" t="n"/>
      <c r="U21" s="283" t="n"/>
      <c r="V21" s="283" t="n"/>
      <c r="W21" s="283" t="n"/>
      <c r="X21" s="283" t="n"/>
      <c r="Y21" s="283" t="n"/>
      <c r="Z21" s="283" t="n"/>
      <c r="AA21" s="283" t="n"/>
      <c r="AB21" s="285" t="n"/>
      <c r="AC21" s="300" t="inlineStr">
        <is>
          <t>Run Status</t>
        </is>
      </c>
      <c r="AD21" s="283" t="n"/>
      <c r="AE21" s="283" t="n"/>
      <c r="AF21" s="283" t="n"/>
      <c r="AG21" s="283" t="n"/>
      <c r="AH21" s="283" t="n"/>
      <c r="AI21" s="283" t="n"/>
      <c r="AJ21" s="283" t="n"/>
      <c r="AK21" s="283" t="n"/>
      <c r="AL21" s="285" t="n"/>
      <c r="AM21" s="286">
        <f>IF(COUNTA(AR25:AR40)=0,"",IF(COUNTIF(AR25:AR40,"FAIL")+COUNTIF(AR25:AR40,"HOLD")&gt;0,"OPEN","CLOSED"))</f>
        <v/>
      </c>
      <c r="AN21" s="283" t="n"/>
      <c r="AO21" s="283" t="n"/>
      <c r="AP21" s="283" t="n"/>
      <c r="AQ21" s="283" t="n"/>
      <c r="AR21" s="283" t="n"/>
      <c r="AS21" s="283" t="n"/>
      <c r="AT21" s="283" t="n"/>
      <c r="AU21" s="283" t="n"/>
      <c r="AV21" s="283" t="n"/>
      <c r="AW21" s="283" t="n"/>
      <c r="AX21" s="283" t="n"/>
      <c r="AY21" s="283" t="n"/>
      <c r="AZ21" s="283" t="n"/>
      <c r="BA21" s="283" t="n"/>
      <c r="BB21" s="283" t="n"/>
      <c r="BC21" s="283" t="n"/>
      <c r="BD21" s="287" t="n"/>
    </row>
    <row r="22" ht="20" customHeight="1">
      <c r="A22" s="25" t="n"/>
    </row>
    <row r="23" ht="20" customHeight="1">
      <c r="A23" s="288" t="inlineStr">
        <is>
          <t>3.  SETUP AND FIRST-PIECE CHECK</t>
        </is>
      </c>
      <c r="B23" s="289" t="n"/>
      <c r="C23" s="289" t="n"/>
      <c r="D23" s="289" t="n"/>
      <c r="E23" s="289" t="n"/>
      <c r="F23" s="289" t="n"/>
      <c r="G23" s="289" t="n"/>
      <c r="H23" s="289" t="n"/>
      <c r="I23" s="289" t="n"/>
      <c r="J23" s="289" t="n"/>
      <c r="K23" s="289" t="n"/>
      <c r="L23" s="289" t="n"/>
      <c r="M23" s="289" t="n"/>
      <c r="N23" s="289" t="n"/>
      <c r="O23" s="289" t="n"/>
      <c r="P23" s="289" t="n"/>
      <c r="Q23" s="289" t="n"/>
      <c r="R23" s="289" t="n"/>
      <c r="S23" s="289" t="n"/>
      <c r="T23" s="289" t="n"/>
      <c r="U23" s="289" t="n"/>
      <c r="V23" s="289" t="n"/>
      <c r="W23" s="289" t="n"/>
      <c r="X23" s="289" t="n"/>
      <c r="Y23" s="289" t="n"/>
      <c r="Z23" s="289" t="n"/>
      <c r="AA23" s="289" t="n"/>
      <c r="AB23" s="289" t="n"/>
      <c r="AC23" s="289" t="n"/>
      <c r="AD23" s="289" t="n"/>
      <c r="AE23" s="289" t="n"/>
      <c r="AF23" s="289" t="n"/>
      <c r="AG23" s="289" t="n"/>
      <c r="AH23" s="289" t="n"/>
      <c r="AI23" s="289" t="n"/>
      <c r="AJ23" s="289" t="n"/>
      <c r="AK23" s="289" t="n"/>
      <c r="AL23" s="289" t="n"/>
      <c r="AM23" s="289" t="n"/>
      <c r="AN23" s="289" t="n"/>
      <c r="AO23" s="289" t="n"/>
      <c r="AP23" s="289" t="n"/>
      <c r="AQ23" s="289" t="n"/>
      <c r="AR23" s="289" t="n"/>
      <c r="AS23" s="289" t="n"/>
      <c r="AT23" s="289" t="n"/>
      <c r="AU23" s="289" t="n"/>
      <c r="AV23" s="289" t="n"/>
      <c r="AW23" s="289" t="n"/>
      <c r="AX23" s="289" t="n"/>
      <c r="AY23" s="289" t="n"/>
      <c r="AZ23" s="289" t="n"/>
      <c r="BA23" s="289" t="n"/>
      <c r="BB23" s="289" t="n"/>
      <c r="BC23" s="289" t="n"/>
      <c r="BD23" s="290" t="n"/>
    </row>
    <row r="24" ht="20" customHeight="1">
      <c r="A24" s="301" t="inlineStr">
        <is>
          <t>#</t>
        </is>
      </c>
      <c r="B24" s="271" t="n"/>
      <c r="C24" s="272" t="n"/>
      <c r="D24" s="302" t="inlineStr">
        <is>
          <t>Cat.</t>
        </is>
      </c>
      <c r="E24" s="271" t="n"/>
      <c r="F24" s="271" t="n"/>
      <c r="G24" s="272" t="n"/>
      <c r="H24" s="302" t="inlineStr">
        <is>
          <t>Setup / FP Check Item</t>
        </is>
      </c>
      <c r="I24" s="271" t="n"/>
      <c r="J24" s="271" t="n"/>
      <c r="K24" s="271" t="n"/>
      <c r="L24" s="271" t="n"/>
      <c r="M24" s="271" t="n"/>
      <c r="N24" s="271" t="n"/>
      <c r="O24" s="271" t="n"/>
      <c r="P24" s="271" t="n"/>
      <c r="Q24" s="271" t="n"/>
      <c r="R24" s="271" t="n"/>
      <c r="S24" s="271" t="n"/>
      <c r="T24" s="271" t="n"/>
      <c r="U24" s="271" t="n"/>
      <c r="V24" s="271" t="n"/>
      <c r="W24" s="271" t="n"/>
      <c r="X24" s="271" t="n"/>
      <c r="Y24" s="271" t="n"/>
      <c r="Z24" s="272" t="n"/>
      <c r="AA24" s="302" t="inlineStr">
        <is>
          <t>Acceptance / Control Rule</t>
        </is>
      </c>
      <c r="AB24" s="271" t="n"/>
      <c r="AC24" s="271" t="n"/>
      <c r="AD24" s="271" t="n"/>
      <c r="AE24" s="271" t="n"/>
      <c r="AF24" s="271" t="n"/>
      <c r="AG24" s="271" t="n"/>
      <c r="AH24" s="271" t="n"/>
      <c r="AI24" s="271" t="n"/>
      <c r="AJ24" s="271" t="n"/>
      <c r="AK24" s="271" t="n"/>
      <c r="AL24" s="271" t="n"/>
      <c r="AM24" s="271" t="n"/>
      <c r="AN24" s="271" t="n"/>
      <c r="AO24" s="271" t="n"/>
      <c r="AP24" s="271" t="n"/>
      <c r="AQ24" s="272" t="n"/>
      <c r="AR24" s="302" t="inlineStr">
        <is>
          <t>Result</t>
        </is>
      </c>
      <c r="AS24" s="271" t="n"/>
      <c r="AT24" s="271" t="n"/>
      <c r="AU24" s="271" t="n"/>
      <c r="AV24" s="271" t="n"/>
      <c r="AW24" s="272" t="n"/>
      <c r="AX24" s="302" t="inlineStr">
        <is>
          <t>Owner</t>
        </is>
      </c>
      <c r="AY24" s="271" t="n"/>
      <c r="AZ24" s="271" t="n"/>
      <c r="BA24" s="272" t="n"/>
      <c r="BB24" s="303" t="inlineStr">
        <is>
          <t>Ref.</t>
        </is>
      </c>
      <c r="BC24" s="271" t="n"/>
      <c r="BD24" s="274" t="n"/>
    </row>
    <row r="25" ht="20" customHeight="1">
      <c r="A25" s="304" t="n">
        <v>1</v>
      </c>
      <c r="B25" s="332" t="n"/>
      <c r="C25" s="333" t="n"/>
      <c r="D25" s="305" t="inlineStr">
        <is>
          <t>SET</t>
        </is>
      </c>
      <c r="E25" s="277" t="n"/>
      <c r="F25" s="277" t="n"/>
      <c r="G25" s="278" t="n"/>
      <c r="H25" s="306" t="inlineStr">
        <is>
          <t>Setup baseline matches released package.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FRM-302 and released packet align.</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2</v>
      </c>
      <c r="B26" s="332" t="n"/>
      <c r="C26" s="333" t="n"/>
      <c r="D26" s="305" t="inlineStr">
        <is>
          <t>SET</t>
        </is>
      </c>
      <c r="E26" s="277" t="n"/>
      <c r="F26" s="277" t="n"/>
      <c r="G26" s="278" t="n"/>
      <c r="H26" s="309" t="inlineStr">
        <is>
          <t>Machine / fixture / datums are correct.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Actual setup matches baseline condition.</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3</v>
      </c>
      <c r="B27" s="332" t="n"/>
      <c r="C27" s="333" t="n"/>
      <c r="D27" s="305" t="inlineStr">
        <is>
          <t>TOOL</t>
        </is>
      </c>
      <c r="E27" s="277" t="n"/>
      <c r="F27" s="277" t="n"/>
      <c r="G27" s="278" t="n"/>
      <c r="H27" s="306" t="inlineStr">
        <is>
          <t>Tool list and offsets are correct.</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Critical tool conditions are controlled.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4</v>
      </c>
      <c r="B28" s="332" t="n"/>
      <c r="C28" s="333" t="n"/>
      <c r="D28" s="310" t="inlineStr">
        <is>
          <t>GAGE</t>
        </is>
      </c>
      <c r="E28" s="277" t="n"/>
      <c r="F28" s="277" t="n"/>
      <c r="G28" s="278" t="n"/>
      <c r="H28" s="309" t="inlineStr">
        <is>
          <t>Required gages / programs are available.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Measurement capability exists before run.</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5</v>
      </c>
      <c r="B29" s="332" t="n"/>
      <c r="C29" s="333" t="n"/>
      <c r="D29" s="311" t="inlineStr">
        <is>
          <t>QUA</t>
        </is>
      </c>
      <c r="E29" s="277" t="n"/>
      <c r="F29" s="277" t="n"/>
      <c r="G29" s="278" t="n"/>
      <c r="H29" s="306" t="inlineStr">
        <is>
          <t>First-piece characteristics are verified.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Required dimensions / CTQ checks are reviewed.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6</v>
      </c>
      <c r="B30" s="332" t="n"/>
      <c r="C30" s="333" t="n"/>
      <c r="D30" s="311" t="inlineStr">
        <is>
          <t>QUA</t>
        </is>
      </c>
      <c r="E30" s="277" t="n"/>
      <c r="F30" s="277" t="n"/>
      <c r="G30" s="278" t="n"/>
      <c r="H30" s="309" t="inlineStr">
        <is>
          <t>Abnormal findings are documented.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Any discrepancy has hold or action logic.</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7</v>
      </c>
      <c r="B31" s="332" t="n"/>
      <c r="C31" s="333" t="n"/>
      <c r="D31" s="312" t="inlineStr">
        <is>
          <t>OPS</t>
        </is>
      </c>
      <c r="E31" s="277" t="n"/>
      <c r="F31" s="277" t="n"/>
      <c r="G31" s="278" t="n"/>
      <c r="H31" s="306" t="inlineStr">
        <is>
          <t>Run condition after first-piece is explicit.</t>
        </is>
      </c>
      <c r="I31" s="277" t="n"/>
      <c r="J31" s="277" t="n"/>
      <c r="K31" s="277" t="n"/>
      <c r="L31" s="277" t="n"/>
      <c r="M31" s="277" t="n"/>
      <c r="N31" s="277" t="n"/>
      <c r="O31" s="277" t="n"/>
      <c r="P31" s="277" t="n"/>
      <c r="Q31" s="277" t="n"/>
      <c r="R31" s="277" t="n"/>
      <c r="S31" s="277" t="n"/>
      <c r="T31" s="277" t="n"/>
      <c r="U31" s="277" t="n"/>
      <c r="V31" s="277" t="n"/>
      <c r="W31" s="277" t="n"/>
      <c r="X31" s="277" t="n"/>
      <c r="Y31" s="277" t="n"/>
      <c r="Z31" s="278" t="n"/>
      <c r="AA31" s="307" t="inlineStr">
        <is>
          <t>Pass-to-run or hold decision is visible.</t>
        </is>
      </c>
      <c r="AB31" s="277" t="n"/>
      <c r="AC31" s="277" t="n"/>
      <c r="AD31" s="277" t="n"/>
      <c r="AE31" s="277" t="n"/>
      <c r="AF31" s="277" t="n"/>
      <c r="AG31" s="277" t="n"/>
      <c r="AH31" s="277" t="n"/>
      <c r="AI31" s="277" t="n"/>
      <c r="AJ31" s="277" t="n"/>
      <c r="AK31" s="277" t="n"/>
      <c r="AL31" s="277" t="n"/>
      <c r="AM31" s="277" t="n"/>
      <c r="AN31" s="277" t="n"/>
      <c r="AO31" s="277" t="n"/>
      <c r="AP31" s="277" t="n"/>
      <c r="AQ31" s="278" t="n"/>
      <c r="AR31" s="308" t="n"/>
      <c r="AS31" s="332" t="n"/>
      <c r="AT31" s="332" t="n"/>
      <c r="AU31" s="332" t="n"/>
      <c r="AV31" s="332" t="n"/>
      <c r="AW31" s="333" t="n"/>
      <c r="AX31" s="308" t="n"/>
      <c r="AY31" s="332" t="n"/>
      <c r="AZ31" s="332" t="n"/>
      <c r="BA31" s="333" t="n"/>
      <c r="BB31" s="308" t="n"/>
      <c r="BC31" s="332" t="n"/>
      <c r="BD31" s="333" t="n"/>
    </row>
    <row r="32" ht="4" customHeight="1">
      <c r="A32" s="304" t="n">
        <v>8</v>
      </c>
      <c r="B32" s="332" t="n"/>
      <c r="C32" s="333" t="n"/>
      <c r="D32" s="313" t="inlineStr">
        <is>
          <t>CON</t>
        </is>
      </c>
      <c r="E32" s="277" t="n"/>
      <c r="F32" s="277" t="n"/>
      <c r="G32" s="278" t="n"/>
      <c r="H32" s="309" t="inlineStr">
        <is>
          <t>Evidence ref and result record exist.</t>
        </is>
      </c>
      <c r="I32" s="277" t="n"/>
      <c r="J32" s="277" t="n"/>
      <c r="K32" s="277" t="n"/>
      <c r="L32" s="277" t="n"/>
      <c r="M32" s="277" t="n"/>
      <c r="N32" s="277" t="n"/>
      <c r="O32" s="277" t="n"/>
      <c r="P32" s="277" t="n"/>
      <c r="Q32" s="277" t="n"/>
      <c r="R32" s="277" t="n"/>
      <c r="S32" s="277" t="n"/>
      <c r="T32" s="277" t="n"/>
      <c r="U32" s="277" t="n"/>
      <c r="V32" s="277" t="n"/>
      <c r="W32" s="277" t="n"/>
      <c r="X32" s="277" t="n"/>
      <c r="Y32" s="277" t="n"/>
      <c r="Z32" s="278" t="n"/>
      <c r="AA32" s="307" t="inlineStr">
        <is>
          <t>Evidence can reconstruct the decision.</t>
        </is>
      </c>
      <c r="AB32" s="277" t="n"/>
      <c r="AC32" s="277" t="n"/>
      <c r="AD32" s="277" t="n"/>
      <c r="AE32" s="277" t="n"/>
      <c r="AF32" s="277" t="n"/>
      <c r="AG32" s="277" t="n"/>
      <c r="AH32" s="277" t="n"/>
      <c r="AI32" s="277" t="n"/>
      <c r="AJ32" s="277" t="n"/>
      <c r="AK32" s="277" t="n"/>
      <c r="AL32" s="277" t="n"/>
      <c r="AM32" s="277" t="n"/>
      <c r="AN32" s="277" t="n"/>
      <c r="AO32" s="277" t="n"/>
      <c r="AP32" s="277" t="n"/>
      <c r="AQ32" s="278" t="n"/>
      <c r="AR32" s="308" t="n"/>
      <c r="AS32" s="332" t="n"/>
      <c r="AT32" s="332" t="n"/>
      <c r="AU32" s="332" t="n"/>
      <c r="AV32" s="332" t="n"/>
      <c r="AW32" s="333" t="n"/>
      <c r="AX32" s="308" t="n"/>
      <c r="AY32" s="332" t="n"/>
      <c r="AZ32" s="332" t="n"/>
      <c r="BA32" s="333" t="n"/>
      <c r="BB32" s="308" t="n"/>
      <c r="BC32" s="332" t="n"/>
      <c r="BD32" s="333" t="n"/>
    </row>
    <row r="33" ht="17" customHeight="1">
      <c r="A33" s="304" t="n">
        <v>9</v>
      </c>
      <c r="B33" s="332" t="n"/>
      <c r="C33" s="333" t="n"/>
      <c r="D33" s="305" t="inlineStr">
        <is>
          <t>REL</t>
        </is>
      </c>
      <c r="E33" s="277" t="n"/>
      <c r="F33" s="277" t="n"/>
      <c r="G33" s="278" t="n"/>
      <c r="H33" s="306" t="inlineStr">
        <is>
          <t>Authority to release or hold is explicit.</t>
        </is>
      </c>
      <c r="I33" s="277" t="n"/>
      <c r="J33" s="277" t="n"/>
      <c r="K33" s="277" t="n"/>
      <c r="L33" s="277" t="n"/>
      <c r="M33" s="277" t="n"/>
      <c r="N33" s="277" t="n"/>
      <c r="O33" s="277" t="n"/>
      <c r="P33" s="277" t="n"/>
      <c r="Q33" s="277" t="n"/>
      <c r="R33" s="277" t="n"/>
      <c r="S33" s="277" t="n"/>
      <c r="T33" s="277" t="n"/>
      <c r="U33" s="277" t="n"/>
      <c r="V33" s="277" t="n"/>
      <c r="W33" s="277" t="n"/>
      <c r="X33" s="277" t="n"/>
      <c r="Y33" s="277" t="n"/>
      <c r="Z33" s="278" t="n"/>
      <c r="AA33" s="307" t="inlineStr">
        <is>
          <t>Named authority matches significance.</t>
        </is>
      </c>
      <c r="AB33" s="277" t="n"/>
      <c r="AC33" s="277" t="n"/>
      <c r="AD33" s="277" t="n"/>
      <c r="AE33" s="277" t="n"/>
      <c r="AF33" s="277" t="n"/>
      <c r="AG33" s="277" t="n"/>
      <c r="AH33" s="277" t="n"/>
      <c r="AI33" s="277" t="n"/>
      <c r="AJ33" s="277" t="n"/>
      <c r="AK33" s="277" t="n"/>
      <c r="AL33" s="277" t="n"/>
      <c r="AM33" s="277" t="n"/>
      <c r="AN33" s="277" t="n"/>
      <c r="AO33" s="277" t="n"/>
      <c r="AP33" s="277" t="n"/>
      <c r="AQ33" s="278" t="n"/>
      <c r="AR33" s="308" t="n"/>
      <c r="AS33" s="332" t="n"/>
      <c r="AT33" s="332" t="n"/>
      <c r="AU33" s="332" t="n"/>
      <c r="AV33" s="332" t="n"/>
      <c r="AW33" s="333" t="n"/>
      <c r="AX33" s="308" t="n"/>
      <c r="AY33" s="332" t="n"/>
      <c r="AZ33" s="332" t="n"/>
      <c r="BA33" s="333" t="n"/>
      <c r="BB33" s="308" t="n"/>
      <c r="BC33" s="332" t="n"/>
      <c r="BD33" s="333" t="n"/>
    </row>
    <row r="34" ht="17" customHeight="1">
      <c r="A34" s="304" t="n">
        <v>10</v>
      </c>
      <c r="B34" s="332" t="n"/>
      <c r="C34" s="333" t="n"/>
      <c r="D34" s="314" t="inlineStr">
        <is>
          <t>REL</t>
        </is>
      </c>
      <c r="E34" s="283" t="n"/>
      <c r="F34" s="283" t="n"/>
      <c r="G34" s="285" t="n"/>
      <c r="H34" s="315" t="inlineStr">
        <is>
          <t>Downstream handshake is visible.</t>
        </is>
      </c>
      <c r="I34" s="283" t="n"/>
      <c r="J34" s="283" t="n"/>
      <c r="K34" s="283" t="n"/>
      <c r="L34" s="283" t="n"/>
      <c r="M34" s="283" t="n"/>
      <c r="N34" s="283" t="n"/>
      <c r="O34" s="283" t="n"/>
      <c r="P34" s="283" t="n"/>
      <c r="Q34" s="283" t="n"/>
      <c r="R34" s="283" t="n"/>
      <c r="S34" s="283" t="n"/>
      <c r="T34" s="283" t="n"/>
      <c r="U34" s="283" t="n"/>
      <c r="V34" s="283" t="n"/>
      <c r="W34" s="283" t="n"/>
      <c r="X34" s="283" t="n"/>
      <c r="Y34" s="283" t="n"/>
      <c r="Z34" s="285" t="n"/>
      <c r="AA34" s="316" t="inlineStr">
        <is>
          <t>Run authorization or revalidation path is clear.</t>
        </is>
      </c>
      <c r="AB34" s="283" t="n"/>
      <c r="AC34" s="283" t="n"/>
      <c r="AD34" s="283" t="n"/>
      <c r="AE34" s="283" t="n"/>
      <c r="AF34" s="283" t="n"/>
      <c r="AG34" s="283" t="n"/>
      <c r="AH34" s="283" t="n"/>
      <c r="AI34" s="283" t="n"/>
      <c r="AJ34" s="283" t="n"/>
      <c r="AK34" s="283" t="n"/>
      <c r="AL34" s="283" t="n"/>
      <c r="AM34" s="283" t="n"/>
      <c r="AN34" s="283" t="n"/>
      <c r="AO34" s="283" t="n"/>
      <c r="AP34" s="283" t="n"/>
      <c r="AQ34" s="285" t="n"/>
      <c r="AR34" s="308" t="n"/>
      <c r="AS34" s="332" t="n"/>
      <c r="AT34" s="332" t="n"/>
      <c r="AU34" s="332" t="n"/>
      <c r="AV34" s="332" t="n"/>
      <c r="AW34" s="333" t="n"/>
      <c r="AX34" s="308" t="n"/>
      <c r="AY34" s="332" t="n"/>
      <c r="AZ34" s="332" t="n"/>
      <c r="BA34" s="333" t="n"/>
      <c r="BB34" s="308" t="n"/>
      <c r="BC34" s="332" t="n"/>
      <c r="BD34" s="333" t="n"/>
    </row>
    <row r="35" ht="20" customHeight="1">
      <c r="A35" s="403" t="n">
        <v>11</v>
      </c>
      <c r="D35" s="404" t="inlineStr">
        <is>
          <t>CNC</t>
        </is>
      </c>
      <c r="H35" s="405" t="inlineStr">
        <is>
          <t>CNC program name and revision match released drawing.</t>
        </is>
      </c>
      <c r="AA35" s="406" t="inlineStr">
        <is>
          <t>Program file, drawing rev, and setup sheet rev are identical.</t>
        </is>
      </c>
      <c r="AR35" s="407" t="n"/>
      <c r="AX35" s="407" t="n"/>
      <c r="BA35" s="408" t="n"/>
    </row>
    <row r="36" ht="20" customHeight="1">
      <c r="A36" s="403" t="n">
        <v>12</v>
      </c>
      <c r="D36" s="404" t="inlineStr">
        <is>
          <t>CNC</t>
        </is>
      </c>
      <c r="H36" s="409" t="inlineStr">
        <is>
          <t>Tool offsets verified against setup sheet values.</t>
        </is>
      </c>
      <c r="AA36" s="406" t="inlineStr">
        <is>
          <t>Length and diameter offsets match FRM-302. No manual adjustment without log.</t>
        </is>
      </c>
      <c r="AR36" s="407" t="n"/>
      <c r="AX36" s="407" t="n"/>
      <c r="BA36" s="408" t="n"/>
    </row>
    <row r="37" ht="20" customHeight="1">
      <c r="A37" s="403" t="n">
        <v>13</v>
      </c>
      <c r="D37" s="404" t="inlineStr">
        <is>
          <t>CNC</t>
        </is>
      </c>
      <c r="H37" s="405" t="inlineStr">
        <is>
          <t>Coolant type, concentration, and flow are correct.</t>
        </is>
      </c>
      <c r="AA37" s="406" t="inlineStr">
        <is>
          <t>Coolant matches material spec. Flow rate adequate for operation.</t>
        </is>
      </c>
      <c r="AR37" s="407" t="n"/>
      <c r="AX37" s="407" t="n"/>
      <c r="BA37" s="408" t="n"/>
    </row>
    <row r="38" ht="20" customHeight="1">
      <c r="A38" s="403" t="n">
        <v>14</v>
      </c>
      <c r="D38" s="404" t="inlineStr">
        <is>
          <t>CNC</t>
        </is>
      </c>
      <c r="H38" s="409" t="inlineStr">
        <is>
          <t>Workholding / clamping force verified for part geometry.</t>
        </is>
      </c>
      <c r="AA38" s="406" t="inlineStr">
        <is>
          <t>No part shift risk. Jaw marks / clamping deformation acceptable.</t>
        </is>
      </c>
      <c r="AR38" s="407" t="n"/>
      <c r="AX38" s="407" t="n"/>
      <c r="BA38" s="408" t="n"/>
    </row>
    <row r="39" ht="20" customHeight="1">
      <c r="A39" s="403" t="n">
        <v>15</v>
      </c>
      <c r="D39" s="410" t="inlineStr">
        <is>
          <t>GAGE</t>
        </is>
      </c>
      <c r="H39" s="405" t="inlineStr">
        <is>
          <t>CMM program revision matches current drawing revision.</t>
        </is>
      </c>
      <c r="AA39" s="406" t="inlineStr">
        <is>
          <t>CMM program ID, revision, and datum strategy are documented.</t>
        </is>
      </c>
      <c r="AR39" s="407" t="n"/>
      <c r="AX39" s="407" t="n"/>
      <c r="BA39" s="408" t="n"/>
    </row>
    <row r="40" ht="20" customHeight="1">
      <c r="A40" s="403" t="n">
        <v>16</v>
      </c>
      <c r="D40" s="411" t="inlineStr">
        <is>
          <t>QUA</t>
        </is>
      </c>
      <c r="H40" s="409" t="inlineStr">
        <is>
          <t>First-piece measurement uncertainty is acceptable for tolerance.</t>
        </is>
      </c>
      <c r="AA40" s="406" t="inlineStr">
        <is>
          <t>Gage R&amp;R / MSA adequate. U(k=2) &lt; 25% of tolerance band.</t>
        </is>
      </c>
      <c r="AR40" s="407" t="n"/>
      <c r="AX40" s="407" t="n"/>
      <c r="BA40" s="408" t="n"/>
    </row>
    <row r="41" ht="17" customHeight="1">
      <c r="A41" s="25" t="n"/>
    </row>
    <row r="42" ht="17" customHeight="1">
      <c r="A42" s="288" t="inlineStr">
        <is>
          <t>4.  ADJUSTMENTS / OPEN ACTIONS</t>
        </is>
      </c>
      <c r="B42" s="289" t="n"/>
      <c r="C42" s="289" t="n"/>
      <c r="D42" s="289" t="n"/>
      <c r="E42" s="289" t="n"/>
      <c r="F42" s="289" t="n"/>
      <c r="G42" s="289" t="n"/>
      <c r="H42" s="289" t="n"/>
      <c r="I42" s="289" t="n"/>
      <c r="J42" s="289" t="n"/>
      <c r="K42" s="289" t="n"/>
      <c r="L42" s="289" t="n"/>
      <c r="M42" s="289" t="n"/>
      <c r="N42" s="289" t="n"/>
      <c r="O42" s="289" t="n"/>
      <c r="P42" s="289" t="n"/>
      <c r="Q42" s="289" t="n"/>
      <c r="R42" s="289" t="n"/>
      <c r="S42" s="289" t="n"/>
      <c r="T42" s="289" t="n"/>
      <c r="U42" s="289" t="n"/>
      <c r="V42" s="289" t="n"/>
      <c r="W42" s="289" t="n"/>
      <c r="X42" s="289" t="n"/>
      <c r="Y42" s="289" t="n"/>
      <c r="Z42" s="289" t="n"/>
      <c r="AA42" s="289" t="n"/>
      <c r="AB42" s="289" t="n"/>
      <c r="AC42" s="289" t="n"/>
      <c r="AD42" s="289" t="n"/>
      <c r="AE42" s="289" t="n"/>
      <c r="AF42" s="289" t="n"/>
      <c r="AG42" s="289" t="n"/>
      <c r="AH42" s="289" t="n"/>
      <c r="AI42" s="289" t="n"/>
      <c r="AJ42" s="289" t="n"/>
      <c r="AK42" s="289" t="n"/>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01" t="inlineStr">
        <is>
          <t>#</t>
        </is>
      </c>
      <c r="B43" s="271" t="n"/>
      <c r="C43" s="272" t="n"/>
      <c r="D43" s="302" t="inlineStr">
        <is>
          <t>Issue / Nonconformance</t>
        </is>
      </c>
      <c r="E43" s="271" t="n"/>
      <c r="F43" s="271" t="n"/>
      <c r="G43" s="271" t="n"/>
      <c r="H43" s="271" t="n"/>
      <c r="I43" s="271" t="n"/>
      <c r="J43" s="271" t="n"/>
      <c r="K43" s="271" t="n"/>
      <c r="L43" s="271" t="n"/>
      <c r="M43" s="271" t="n"/>
      <c r="N43" s="271" t="n"/>
      <c r="O43" s="271" t="n"/>
      <c r="P43" s="271" t="n"/>
      <c r="Q43" s="272" t="n"/>
      <c r="R43" s="302" t="inlineStr">
        <is>
          <t>Required Action</t>
        </is>
      </c>
      <c r="S43" s="271" t="n"/>
      <c r="T43" s="271" t="n"/>
      <c r="U43" s="271" t="n"/>
      <c r="V43" s="271" t="n"/>
      <c r="W43" s="271" t="n"/>
      <c r="X43" s="271" t="n"/>
      <c r="Y43" s="271" t="n"/>
      <c r="Z43" s="271" t="n"/>
      <c r="AA43" s="271" t="n"/>
      <c r="AB43" s="271" t="n"/>
      <c r="AC43" s="271" t="n"/>
      <c r="AD43" s="271" t="n"/>
      <c r="AE43" s="271" t="n"/>
      <c r="AF43" s="271" t="n"/>
      <c r="AG43" s="271" t="n"/>
      <c r="AH43" s="272" t="n"/>
      <c r="AI43" s="302" t="inlineStr">
        <is>
          <t>Owner</t>
        </is>
      </c>
      <c r="AJ43" s="271" t="n"/>
      <c r="AK43" s="271" t="n"/>
      <c r="AL43" s="271" t="n"/>
      <c r="AM43" s="271" t="n"/>
      <c r="AN43" s="271" t="n"/>
      <c r="AO43" s="272" t="n"/>
      <c r="AP43" s="302" t="inlineStr">
        <is>
          <t>Due Date</t>
        </is>
      </c>
      <c r="AQ43" s="271" t="n"/>
      <c r="AR43" s="271" t="n"/>
      <c r="AS43" s="271" t="n"/>
      <c r="AT43" s="271" t="n"/>
      <c r="AU43" s="271" t="n"/>
      <c r="AV43" s="272" t="n"/>
      <c r="AW43" s="302" t="inlineStr">
        <is>
          <t>Status</t>
        </is>
      </c>
      <c r="AX43" s="271" t="n"/>
      <c r="AY43" s="271" t="n"/>
      <c r="AZ43" s="272" t="n"/>
      <c r="BA43" s="303" t="inlineStr">
        <is>
          <t>Verified by</t>
        </is>
      </c>
      <c r="BB43" s="271" t="n"/>
      <c r="BC43" s="271" t="n"/>
      <c r="BD43" s="274" t="n"/>
    </row>
    <row r="44" ht="26" customHeight="1">
      <c r="A44" s="317" t="n">
        <v>1</v>
      </c>
      <c r="B44" s="277" t="n"/>
      <c r="C44" s="278" t="n"/>
      <c r="D44" s="308" t="n"/>
      <c r="E44" s="332" t="n"/>
      <c r="F44" s="332" t="n"/>
      <c r="G44" s="332" t="n"/>
      <c r="H44" s="332" t="n"/>
      <c r="I44" s="332" t="n"/>
      <c r="J44" s="332" t="n"/>
      <c r="K44" s="332" t="n"/>
      <c r="L44" s="332" t="n"/>
      <c r="M44" s="332" t="n"/>
      <c r="N44" s="332" t="n"/>
      <c r="O44" s="332" t="n"/>
      <c r="P44" s="332" t="n"/>
      <c r="Q44" s="333" t="n"/>
      <c r="R44" s="308" t="n"/>
      <c r="S44" s="332" t="n"/>
      <c r="T44" s="332" t="n"/>
      <c r="U44" s="332" t="n"/>
      <c r="V44" s="332" t="n"/>
      <c r="W44" s="332" t="n"/>
      <c r="X44" s="332" t="n"/>
      <c r="Y44" s="332" t="n"/>
      <c r="Z44" s="332" t="n"/>
      <c r="AA44" s="332" t="n"/>
      <c r="AB44" s="332" t="n"/>
      <c r="AC44" s="332" t="n"/>
      <c r="AD44" s="332" t="n"/>
      <c r="AE44" s="332" t="n"/>
      <c r="AF44" s="332" t="n"/>
      <c r="AG44" s="332" t="n"/>
      <c r="AH44" s="333" t="n"/>
      <c r="AI44" s="308" t="n"/>
      <c r="AJ44" s="332" t="n"/>
      <c r="AK44" s="332" t="n"/>
      <c r="AL44" s="332" t="n"/>
      <c r="AM44" s="332" t="n"/>
      <c r="AN44" s="332" t="n"/>
      <c r="AO44" s="333" t="n"/>
      <c r="AP44" s="308" t="n"/>
      <c r="AQ44" s="332" t="n"/>
      <c r="AR44" s="332" t="n"/>
      <c r="AS44" s="332" t="n"/>
      <c r="AT44" s="332" t="n"/>
      <c r="AU44" s="332" t="n"/>
      <c r="AV44" s="333" t="n"/>
      <c r="AW44" s="308" t="n"/>
      <c r="AX44" s="332" t="n"/>
      <c r="AY44" s="332" t="n"/>
      <c r="AZ44" s="333" t="n"/>
      <c r="BA44" s="308" t="n"/>
      <c r="BB44" s="332" t="n"/>
      <c r="BC44" s="332" t="n"/>
      <c r="BD44" s="333" t="n"/>
    </row>
    <row r="45" ht="26" customHeight="1">
      <c r="A45" s="317" t="n">
        <v>2</v>
      </c>
      <c r="B45" s="277" t="n"/>
      <c r="C45" s="278" t="n"/>
      <c r="D45" s="308" t="n"/>
      <c r="E45" s="332" t="n"/>
      <c r="F45" s="332" t="n"/>
      <c r="G45" s="332" t="n"/>
      <c r="H45" s="332" t="n"/>
      <c r="I45" s="332" t="n"/>
      <c r="J45" s="332" t="n"/>
      <c r="K45" s="332" t="n"/>
      <c r="L45" s="332" t="n"/>
      <c r="M45" s="332" t="n"/>
      <c r="N45" s="332" t="n"/>
      <c r="O45" s="332" t="n"/>
      <c r="P45" s="332" t="n"/>
      <c r="Q45" s="333" t="n"/>
      <c r="R45" s="308" t="n"/>
      <c r="S45" s="332" t="n"/>
      <c r="T45" s="332" t="n"/>
      <c r="U45" s="332" t="n"/>
      <c r="V45" s="332" t="n"/>
      <c r="W45" s="332" t="n"/>
      <c r="X45" s="332" t="n"/>
      <c r="Y45" s="332" t="n"/>
      <c r="Z45" s="332" t="n"/>
      <c r="AA45" s="332" t="n"/>
      <c r="AB45" s="332" t="n"/>
      <c r="AC45" s="332" t="n"/>
      <c r="AD45" s="332" t="n"/>
      <c r="AE45" s="332" t="n"/>
      <c r="AF45" s="332" t="n"/>
      <c r="AG45" s="332" t="n"/>
      <c r="AH45" s="333" t="n"/>
      <c r="AI45" s="308" t="n"/>
      <c r="AJ45" s="332" t="n"/>
      <c r="AK45" s="332" t="n"/>
      <c r="AL45" s="332" t="n"/>
      <c r="AM45" s="332" t="n"/>
      <c r="AN45" s="332" t="n"/>
      <c r="AO45" s="333" t="n"/>
      <c r="AP45" s="308" t="n"/>
      <c r="AQ45" s="332" t="n"/>
      <c r="AR45" s="332" t="n"/>
      <c r="AS45" s="332" t="n"/>
      <c r="AT45" s="332" t="n"/>
      <c r="AU45" s="332" t="n"/>
      <c r="AV45" s="333" t="n"/>
      <c r="AW45" s="308" t="n"/>
      <c r="AX45" s="332" t="n"/>
      <c r="AY45" s="332" t="n"/>
      <c r="AZ45" s="333" t="n"/>
      <c r="BA45" s="308" t="n"/>
      <c r="BB45" s="332" t="n"/>
      <c r="BC45" s="332" t="n"/>
      <c r="BD45" s="333" t="n"/>
    </row>
    <row r="46" ht="4" customHeight="1">
      <c r="A46" s="317" t="n">
        <v>3</v>
      </c>
      <c r="B46" s="277" t="n"/>
      <c r="C46" s="278" t="n"/>
      <c r="D46" s="308" t="n"/>
      <c r="E46" s="332" t="n"/>
      <c r="F46" s="332" t="n"/>
      <c r="G46" s="332" t="n"/>
      <c r="H46" s="332" t="n"/>
      <c r="I46" s="332" t="n"/>
      <c r="J46" s="332" t="n"/>
      <c r="K46" s="332" t="n"/>
      <c r="L46" s="332" t="n"/>
      <c r="M46" s="332" t="n"/>
      <c r="N46" s="332" t="n"/>
      <c r="O46" s="332" t="n"/>
      <c r="P46" s="332" t="n"/>
      <c r="Q46" s="333" t="n"/>
      <c r="R46" s="308" t="n"/>
      <c r="S46" s="332" t="n"/>
      <c r="T46" s="332" t="n"/>
      <c r="U46" s="332" t="n"/>
      <c r="V46" s="332" t="n"/>
      <c r="W46" s="332" t="n"/>
      <c r="X46" s="332" t="n"/>
      <c r="Y46" s="332" t="n"/>
      <c r="Z46" s="332" t="n"/>
      <c r="AA46" s="332" t="n"/>
      <c r="AB46" s="332" t="n"/>
      <c r="AC46" s="332" t="n"/>
      <c r="AD46" s="332" t="n"/>
      <c r="AE46" s="332" t="n"/>
      <c r="AF46" s="332" t="n"/>
      <c r="AG46" s="332" t="n"/>
      <c r="AH46" s="333" t="n"/>
      <c r="AI46" s="308" t="n"/>
      <c r="AJ46" s="332" t="n"/>
      <c r="AK46" s="332" t="n"/>
      <c r="AL46" s="332" t="n"/>
      <c r="AM46" s="332" t="n"/>
      <c r="AN46" s="332" t="n"/>
      <c r="AO46" s="333" t="n"/>
      <c r="AP46" s="308" t="n"/>
      <c r="AQ46" s="332" t="n"/>
      <c r="AR46" s="332" t="n"/>
      <c r="AS46" s="332" t="n"/>
      <c r="AT46" s="332" t="n"/>
      <c r="AU46" s="332" t="n"/>
      <c r="AV46" s="333" t="n"/>
      <c r="AW46" s="308" t="n"/>
      <c r="AX46" s="332" t="n"/>
      <c r="AY46" s="332" t="n"/>
      <c r="AZ46" s="333" t="n"/>
      <c r="BA46" s="308" t="n"/>
      <c r="BB46" s="332" t="n"/>
      <c r="BC46" s="332" t="n"/>
      <c r="BD46" s="333" t="n"/>
    </row>
    <row r="47" ht="24" customHeight="1">
      <c r="A47" s="317" t="n">
        <v>4</v>
      </c>
      <c r="B47" s="277" t="n"/>
      <c r="C47" s="278" t="n"/>
      <c r="D47" s="308" t="n"/>
      <c r="E47" s="332" t="n"/>
      <c r="F47" s="332" t="n"/>
      <c r="G47" s="332" t="n"/>
      <c r="H47" s="332" t="n"/>
      <c r="I47" s="332" t="n"/>
      <c r="J47" s="332" t="n"/>
      <c r="K47" s="332" t="n"/>
      <c r="L47" s="332" t="n"/>
      <c r="M47" s="332" t="n"/>
      <c r="N47" s="332" t="n"/>
      <c r="O47" s="332" t="n"/>
      <c r="P47" s="332" t="n"/>
      <c r="Q47" s="333" t="n"/>
      <c r="R47" s="308" t="n"/>
      <c r="S47" s="332" t="n"/>
      <c r="T47" s="332" t="n"/>
      <c r="U47" s="332" t="n"/>
      <c r="V47" s="332" t="n"/>
      <c r="W47" s="332" t="n"/>
      <c r="X47" s="332" t="n"/>
      <c r="Y47" s="332" t="n"/>
      <c r="Z47" s="332" t="n"/>
      <c r="AA47" s="332" t="n"/>
      <c r="AB47" s="332" t="n"/>
      <c r="AC47" s="332" t="n"/>
      <c r="AD47" s="332" t="n"/>
      <c r="AE47" s="332" t="n"/>
      <c r="AF47" s="332" t="n"/>
      <c r="AG47" s="332" t="n"/>
      <c r="AH47" s="333" t="n"/>
      <c r="AI47" s="308" t="n"/>
      <c r="AJ47" s="332" t="n"/>
      <c r="AK47" s="332" t="n"/>
      <c r="AL47" s="332" t="n"/>
      <c r="AM47" s="332" t="n"/>
      <c r="AN47" s="332" t="n"/>
      <c r="AO47" s="333" t="n"/>
      <c r="AP47" s="308" t="n"/>
      <c r="AQ47" s="332" t="n"/>
      <c r="AR47" s="332" t="n"/>
      <c r="AS47" s="332" t="n"/>
      <c r="AT47" s="332" t="n"/>
      <c r="AU47" s="332" t="n"/>
      <c r="AV47" s="333" t="n"/>
      <c r="AW47" s="308" t="n"/>
      <c r="AX47" s="332" t="n"/>
      <c r="AY47" s="332" t="n"/>
      <c r="AZ47" s="333" t="n"/>
      <c r="BA47" s="308" t="n"/>
      <c r="BB47" s="332" t="n"/>
      <c r="BC47" s="332" t="n"/>
      <c r="BD47" s="333" t="n"/>
    </row>
    <row r="48" hidden="1" outlineLevel="1">
      <c r="A48" s="318" t="n">
        <v>5</v>
      </c>
      <c r="B48" s="283" t="n"/>
      <c r="C48" s="285" t="n"/>
      <c r="D48" s="308" t="n"/>
      <c r="E48" s="332" t="n"/>
      <c r="F48" s="332" t="n"/>
      <c r="G48" s="332" t="n"/>
      <c r="H48" s="332" t="n"/>
      <c r="I48" s="332" t="n"/>
      <c r="J48" s="332" t="n"/>
      <c r="K48" s="332" t="n"/>
      <c r="L48" s="332" t="n"/>
      <c r="M48" s="332" t="n"/>
      <c r="N48" s="332" t="n"/>
      <c r="O48" s="332" t="n"/>
      <c r="P48" s="332" t="n"/>
      <c r="Q48" s="333" t="n"/>
      <c r="R48" s="308" t="n"/>
      <c r="S48" s="332" t="n"/>
      <c r="T48" s="332" t="n"/>
      <c r="U48" s="332" t="n"/>
      <c r="V48" s="332" t="n"/>
      <c r="W48" s="332" t="n"/>
      <c r="X48" s="332" t="n"/>
      <c r="Y48" s="332" t="n"/>
      <c r="Z48" s="332" t="n"/>
      <c r="AA48" s="332" t="n"/>
      <c r="AB48" s="332" t="n"/>
      <c r="AC48" s="332" t="n"/>
      <c r="AD48" s="332" t="n"/>
      <c r="AE48" s="332" t="n"/>
      <c r="AF48" s="332" t="n"/>
      <c r="AG48" s="332" t="n"/>
      <c r="AH48" s="333" t="n"/>
      <c r="AI48" s="308" t="n"/>
      <c r="AJ48" s="332" t="n"/>
      <c r="AK48" s="332" t="n"/>
      <c r="AL48" s="332" t="n"/>
      <c r="AM48" s="332" t="n"/>
      <c r="AN48" s="332" t="n"/>
      <c r="AO48" s="333" t="n"/>
      <c r="AP48" s="308" t="n"/>
      <c r="AQ48" s="332" t="n"/>
      <c r="AR48" s="332" t="n"/>
      <c r="AS48" s="332" t="n"/>
      <c r="AT48" s="332" t="n"/>
      <c r="AU48" s="332" t="n"/>
      <c r="AV48" s="333" t="n"/>
      <c r="AW48" s="308" t="n"/>
      <c r="AX48" s="332" t="n"/>
      <c r="AY48" s="332" t="n"/>
      <c r="AZ48" s="333" t="n"/>
      <c r="BA48" s="308" t="n"/>
      <c r="BB48" s="332" t="n"/>
      <c r="BC48" s="332" t="n"/>
      <c r="BD48" s="333" t="n"/>
    </row>
    <row r="49" hidden="1" outlineLevel="1">
      <c r="A49" s="25" t="n"/>
    </row>
    <row r="50" hidden="1" outlineLevel="1">
      <c r="A50" s="288" t="inlineStr">
        <is>
          <t>5.  APPROVAL / SIGN-OFF</t>
        </is>
      </c>
      <c r="B50" s="289" t="n"/>
      <c r="C50" s="289" t="n"/>
      <c r="D50" s="289" t="n"/>
      <c r="E50" s="289" t="n"/>
      <c r="F50" s="289" t="n"/>
      <c r="G50" s="289" t="n"/>
      <c r="H50" s="289" t="n"/>
      <c r="I50" s="289" t="n"/>
      <c r="J50" s="289" t="n"/>
      <c r="K50" s="289" t="n"/>
      <c r="L50" s="289" t="n"/>
      <c r="M50" s="289" t="n"/>
      <c r="N50" s="289" t="n"/>
      <c r="O50" s="289" t="n"/>
      <c r="P50" s="289" t="n"/>
      <c r="Q50" s="289" t="n"/>
      <c r="R50" s="289" t="n"/>
      <c r="S50" s="289" t="n"/>
      <c r="T50" s="289" t="n"/>
      <c r="U50" s="289" t="n"/>
      <c r="V50" s="289" t="n"/>
      <c r="W50" s="289" t="n"/>
      <c r="X50" s="289" t="n"/>
      <c r="Y50" s="289" t="n"/>
      <c r="Z50" s="289" t="n"/>
      <c r="AA50" s="289" t="n"/>
      <c r="AB50" s="289" t="n"/>
      <c r="AC50" s="289" t="n"/>
      <c r="AD50" s="289" t="n"/>
      <c r="AE50" s="289" t="n"/>
      <c r="AF50" s="289" t="n"/>
      <c r="AG50" s="289" t="n"/>
      <c r="AH50" s="289" t="n"/>
      <c r="AI50" s="289" t="n"/>
      <c r="AJ50" s="289" t="n"/>
      <c r="AK50" s="289" t="n"/>
      <c r="AL50" s="289" t="n"/>
      <c r="AM50" s="289" t="n"/>
      <c r="AN50" s="289" t="n"/>
      <c r="AO50" s="289" t="n"/>
      <c r="AP50" s="289" t="n"/>
      <c r="AQ50" s="289" t="n"/>
      <c r="AR50" s="289" t="n"/>
      <c r="AS50" s="289" t="n"/>
      <c r="AT50" s="289" t="n"/>
      <c r="AU50" s="289" t="n"/>
      <c r="AV50" s="289" t="n"/>
      <c r="AW50" s="289" t="n"/>
      <c r="AX50" s="289" t="n"/>
      <c r="AY50" s="289" t="n"/>
      <c r="AZ50" s="289" t="n"/>
      <c r="BA50" s="289" t="n"/>
      <c r="BB50" s="289" t="n"/>
      <c r="BC50" s="289" t="n"/>
      <c r="BD50" s="290" t="n"/>
    </row>
    <row r="51" hidden="1" outlineLevel="1">
      <c r="A51" s="319" t="inlineStr">
        <is>
          <t>Prepared by</t>
        </is>
      </c>
      <c r="B51" s="289" t="n"/>
      <c r="C51" s="289" t="n"/>
      <c r="D51" s="289" t="n"/>
      <c r="E51" s="289" t="n"/>
      <c r="F51" s="289" t="n"/>
      <c r="G51" s="289" t="n"/>
      <c r="H51" s="289" t="n"/>
      <c r="I51" s="289" t="n"/>
      <c r="J51" s="289" t="n"/>
      <c r="K51" s="289" t="n"/>
      <c r="L51" s="289" t="n"/>
      <c r="M51" s="289" t="n"/>
      <c r="N51" s="289" t="n"/>
      <c r="O51" s="289" t="n"/>
      <c r="P51" s="289" t="n"/>
      <c r="Q51" s="289" t="n"/>
      <c r="R51" s="289" t="n"/>
      <c r="S51" s="320" t="inlineStr">
        <is>
          <t>Reviewed by</t>
        </is>
      </c>
      <c r="T51" s="289" t="n"/>
      <c r="U51" s="289" t="n"/>
      <c r="V51" s="289" t="n"/>
      <c r="W51" s="289" t="n"/>
      <c r="X51" s="289" t="n"/>
      <c r="Y51" s="289" t="n"/>
      <c r="Z51" s="289" t="n"/>
      <c r="AA51" s="289" t="n"/>
      <c r="AB51" s="289" t="n"/>
      <c r="AC51" s="289" t="n"/>
      <c r="AD51" s="289" t="n"/>
      <c r="AE51" s="289" t="n"/>
      <c r="AF51" s="289" t="n"/>
      <c r="AG51" s="289" t="n"/>
      <c r="AH51" s="289" t="n"/>
      <c r="AI51" s="289" t="n"/>
      <c r="AJ51" s="289" t="n"/>
      <c r="AK51" s="321" t="inlineStr">
        <is>
          <t>Approved by</t>
        </is>
      </c>
      <c r="AL51" s="289" t="n"/>
      <c r="AM51" s="289" t="n"/>
      <c r="AN51" s="289" t="n"/>
      <c r="AO51" s="289" t="n"/>
      <c r="AP51" s="289" t="n"/>
      <c r="AQ51" s="289" t="n"/>
      <c r="AR51" s="289" t="n"/>
      <c r="AS51" s="289" t="n"/>
      <c r="AT51" s="289" t="n"/>
      <c r="AU51" s="289" t="n"/>
      <c r="AV51" s="289" t="n"/>
      <c r="AW51" s="289" t="n"/>
      <c r="AX51" s="289" t="n"/>
      <c r="AY51" s="289" t="n"/>
      <c r="AZ51" s="289" t="n"/>
      <c r="BA51" s="289" t="n"/>
      <c r="BB51" s="289" t="n"/>
      <c r="BC51" s="289" t="n"/>
      <c r="BD51" s="290" t="n"/>
    </row>
    <row r="52" hidden="1" outlineLevel="1">
      <c r="A52" s="322" t="inlineStr">
        <is>
          <t>Name  /  Signature  /  Date</t>
        </is>
      </c>
      <c r="B52" s="268" t="n"/>
      <c r="C52" s="268" t="n"/>
      <c r="D52" s="268" t="n"/>
      <c r="E52" s="268" t="n"/>
      <c r="F52" s="268" t="n"/>
      <c r="G52" s="268" t="n"/>
      <c r="H52" s="268" t="n"/>
      <c r="I52" s="268" t="n"/>
      <c r="J52" s="268" t="n"/>
      <c r="K52" s="268" t="n"/>
      <c r="L52" s="268" t="n"/>
      <c r="M52" s="268" t="n"/>
      <c r="N52" s="268" t="n"/>
      <c r="O52" s="268" t="n"/>
      <c r="P52" s="268" t="n"/>
      <c r="Q52" s="268" t="n"/>
      <c r="R52" s="323" t="n"/>
      <c r="S52" s="322" t="inlineStr">
        <is>
          <t>Name  /  Signature  /  Date</t>
        </is>
      </c>
      <c r="T52" s="268" t="n"/>
      <c r="U52" s="268" t="n"/>
      <c r="V52" s="268" t="n"/>
      <c r="W52" s="268" t="n"/>
      <c r="X52" s="268" t="n"/>
      <c r="Y52" s="268" t="n"/>
      <c r="Z52" s="268" t="n"/>
      <c r="AA52" s="268" t="n"/>
      <c r="AB52" s="268" t="n"/>
      <c r="AC52" s="268" t="n"/>
      <c r="AD52" s="268" t="n"/>
      <c r="AE52" s="268" t="n"/>
      <c r="AF52" s="268" t="n"/>
      <c r="AG52" s="268" t="n"/>
      <c r="AH52" s="268" t="n"/>
      <c r="AI52" s="268" t="n"/>
      <c r="AJ52" s="323" t="n"/>
      <c r="AK52" s="322" t="inlineStr">
        <is>
          <t>Name  /  Signature  /  Date</t>
        </is>
      </c>
      <c r="AL52" s="268" t="n"/>
      <c r="AM52" s="268" t="n"/>
      <c r="AN52" s="268" t="n"/>
      <c r="AO52" s="268" t="n"/>
      <c r="AP52" s="268" t="n"/>
      <c r="AQ52" s="268" t="n"/>
      <c r="AR52" s="268" t="n"/>
      <c r="AS52" s="268" t="n"/>
      <c r="AT52" s="268" t="n"/>
      <c r="AU52" s="268" t="n"/>
      <c r="AV52" s="268" t="n"/>
      <c r="AW52" s="268" t="n"/>
      <c r="AX52" s="268" t="n"/>
      <c r="AY52" s="268" t="n"/>
      <c r="AZ52" s="268" t="n"/>
      <c r="BA52" s="268" t="n"/>
      <c r="BB52" s="268" t="n"/>
      <c r="BC52" s="268" t="n"/>
      <c r="BD52" s="323" t="n"/>
    </row>
    <row r="53" hidden="1" outlineLevel="1">
      <c r="A53" s="275" t="n"/>
      <c r="R53" s="324" t="n"/>
      <c r="S53" s="275" t="n"/>
      <c r="AJ53" s="324" t="n"/>
      <c r="AK53" s="275" t="n"/>
      <c r="BD53" s="324" t="n"/>
    </row>
    <row r="54" hidden="1" outlineLevel="1">
      <c r="A54" s="282" t="n"/>
      <c r="B54" s="283" t="n"/>
      <c r="C54" s="283" t="n"/>
      <c r="D54" s="283" t="n"/>
      <c r="E54" s="283" t="n"/>
      <c r="F54" s="283" t="n"/>
      <c r="G54" s="283" t="n"/>
      <c r="H54" s="283" t="n"/>
      <c r="I54" s="283" t="n"/>
      <c r="J54" s="283" t="n"/>
      <c r="K54" s="283" t="n"/>
      <c r="L54" s="283" t="n"/>
      <c r="M54" s="283" t="n"/>
      <c r="N54" s="283" t="n"/>
      <c r="O54" s="283" t="n"/>
      <c r="P54" s="283" t="n"/>
      <c r="Q54" s="283" t="n"/>
      <c r="R54" s="287" t="n"/>
      <c r="S54" s="282" t="n"/>
      <c r="T54" s="283" t="n"/>
      <c r="U54" s="283" t="n"/>
      <c r="V54" s="283" t="n"/>
      <c r="W54" s="283" t="n"/>
      <c r="X54" s="283" t="n"/>
      <c r="Y54" s="283" t="n"/>
      <c r="Z54" s="283" t="n"/>
      <c r="AA54" s="283" t="n"/>
      <c r="AB54" s="283" t="n"/>
      <c r="AC54" s="283" t="n"/>
      <c r="AD54" s="283" t="n"/>
      <c r="AE54" s="283" t="n"/>
      <c r="AF54" s="283" t="n"/>
      <c r="AG54" s="283" t="n"/>
      <c r="AH54" s="283" t="n"/>
      <c r="AI54" s="283" t="n"/>
      <c r="AJ54" s="287" t="n"/>
      <c r="AK54" s="282" t="n"/>
      <c r="AL54" s="283" t="n"/>
      <c r="AM54" s="283" t="n"/>
      <c r="AN54" s="283" t="n"/>
      <c r="AO54" s="283" t="n"/>
      <c r="AP54" s="283" t="n"/>
      <c r="AQ54" s="283" t="n"/>
      <c r="AR54" s="283" t="n"/>
      <c r="AS54" s="283" t="n"/>
      <c r="AT54" s="283" t="n"/>
      <c r="AU54" s="283" t="n"/>
      <c r="AV54" s="283" t="n"/>
      <c r="AW54" s="283" t="n"/>
      <c r="AX54" s="283" t="n"/>
      <c r="AY54" s="283" t="n"/>
      <c r="AZ54" s="283" t="n"/>
      <c r="BA54" s="283" t="n"/>
      <c r="BB54" s="283" t="n"/>
      <c r="BC54" s="283" t="n"/>
      <c r="BD54" s="287" t="n"/>
    </row>
    <row r="55" hidden="1" outlineLevel="1">
      <c r="A55" s="25" t="n"/>
    </row>
    <row r="56" hidden="1" outlineLevel="1">
      <c r="A56" s="325" t="inlineStr">
        <is>
          <t>NOTICE  -  Enter data only in designated white input cells. Do not add, delete or resize columns/rows. File naming: FRM-511_{JobNo}_{PartNo}.xlsx. Ref: SOP-504 / WI-517, WI-519. Retain 10 years per QMS retention schedule. Verify program rev = drawing rev before first cut.</t>
        </is>
      </c>
      <c r="B56" s="289" t="n"/>
      <c r="C56" s="289" t="n"/>
      <c r="D56" s="289" t="n"/>
      <c r="E56" s="289" t="n"/>
      <c r="F56" s="289" t="n"/>
      <c r="G56" s="289" t="n"/>
      <c r="H56" s="289" t="n"/>
      <c r="I56" s="289" t="n"/>
      <c r="J56" s="289" t="n"/>
      <c r="K56" s="289" t="n"/>
      <c r="L56" s="289" t="n"/>
      <c r="M56" s="289" t="n"/>
      <c r="N56" s="289" t="n"/>
      <c r="O56" s="289" t="n"/>
      <c r="P56" s="289" t="n"/>
      <c r="Q56" s="289" t="n"/>
      <c r="R56" s="289" t="n"/>
      <c r="S56" s="289" t="n"/>
      <c r="T56" s="289" t="n"/>
      <c r="U56" s="289" t="n"/>
      <c r="V56" s="289" t="n"/>
      <c r="W56" s="289" t="n"/>
      <c r="X56" s="289" t="n"/>
      <c r="Y56" s="289" t="n"/>
      <c r="Z56" s="289" t="n"/>
      <c r="AA56" s="289" t="n"/>
      <c r="AB56" s="289" t="n"/>
      <c r="AC56" s="289" t="n"/>
      <c r="AD56" s="289" t="n"/>
      <c r="AE56" s="289" t="n"/>
      <c r="AF56" s="289" t="n"/>
      <c r="AG56" s="289" t="n"/>
      <c r="AH56" s="289" t="n"/>
      <c r="AI56" s="289" t="n"/>
      <c r="AJ56" s="289" t="n"/>
      <c r="AK56" s="289" t="n"/>
      <c r="AL56" s="289" t="n"/>
      <c r="AM56" s="289" t="n"/>
      <c r="AN56" s="289" t="n"/>
      <c r="AO56" s="289" t="n"/>
      <c r="AP56" s="289" t="n"/>
      <c r="AQ56" s="289" t="n"/>
      <c r="AR56" s="289" t="n"/>
      <c r="AS56" s="289" t="n"/>
      <c r="AT56" s="289" t="n"/>
      <c r="AU56" s="289" t="n"/>
      <c r="AV56" s="289" t="n"/>
      <c r="AW56" s="289" t="n"/>
      <c r="AX56" s="289" t="n"/>
      <c r="AY56" s="289" t="n"/>
      <c r="AZ56" s="289" t="n"/>
      <c r="BA56" s="289" t="n"/>
      <c r="BB56" s="289" t="n"/>
      <c r="BC56" s="289" t="n"/>
      <c r="BD56" s="290" t="n"/>
    </row>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03">
    <mergeCell ref="D35:Q35"/>
    <mergeCell ref="A37:C37"/>
    <mergeCell ref="AW2:BD2"/>
    <mergeCell ref="R38:AH38"/>
    <mergeCell ref="A21:C21"/>
    <mergeCell ref="A26:C26"/>
    <mergeCell ref="A40:BD40"/>
    <mergeCell ref="AQ5:AV5"/>
    <mergeCell ref="A23:C23"/>
    <mergeCell ref="AI39:AO39"/>
    <mergeCell ref="A42:R42"/>
    <mergeCell ref="AW3:BD3"/>
    <mergeCell ref="AA39:AQ39"/>
    <mergeCell ref="BB22:BD22"/>
    <mergeCell ref="AC16:AL16"/>
    <mergeCell ref="AK43:BD45"/>
    <mergeCell ref="AQ4:AV4"/>
    <mergeCell ref="H29:Z29"/>
    <mergeCell ref="AR35:AW35"/>
    <mergeCell ref="AI38:AO38"/>
    <mergeCell ref="AW38:AZ38"/>
    <mergeCell ref="AA36:AQ36"/>
    <mergeCell ref="D22:G22"/>
    <mergeCell ref="A6:BD6"/>
    <mergeCell ref="H38:Z38"/>
    <mergeCell ref="AW5:BD5"/>
    <mergeCell ref="D31:G31"/>
    <mergeCell ref="AX27:BA27"/>
    <mergeCell ref="AC18:AL18"/>
    <mergeCell ref="R35:AH35"/>
    <mergeCell ref="H31:Z31"/>
    <mergeCell ref="D21:G21"/>
    <mergeCell ref="AP35:AV35"/>
    <mergeCell ref="A34:C34"/>
    <mergeCell ref="D37:Q37"/>
    <mergeCell ref="AA35:AQ35"/>
    <mergeCell ref="H21:Z21"/>
    <mergeCell ref="AA31:AQ31"/>
    <mergeCell ref="D39:Q39"/>
    <mergeCell ref="K15:AB15"/>
    <mergeCell ref="AA21:AQ21"/>
    <mergeCell ref="A12:J12"/>
    <mergeCell ref="A47:BD47"/>
    <mergeCell ref="AW35:AZ35"/>
    <mergeCell ref="D38:Q38"/>
    <mergeCell ref="AR39:AW39"/>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R38:AW38"/>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AA38:AQ38"/>
    <mergeCell ref="BB31:BD31"/>
    <mergeCell ref="AC11:AL11"/>
    <mergeCell ref="AX29:BA29"/>
    <mergeCell ref="AX23:BA23"/>
    <mergeCell ref="H24:Z24"/>
    <mergeCell ref="AR30:AW30"/>
    <mergeCell ref="K8:AB8"/>
    <mergeCell ref="AW4:BD4"/>
    <mergeCell ref="AW36:AZ36"/>
    <mergeCell ref="A14:BD14"/>
    <mergeCell ref="A22:C22"/>
    <mergeCell ref="AJ15:BD15"/>
    <mergeCell ref="AA37:AQ37"/>
    <mergeCell ref="AQ1:AV1"/>
    <mergeCell ref="AA24:AQ24"/>
    <mergeCell ref="H26:Z26"/>
    <mergeCell ref="H35:Z35"/>
    <mergeCell ref="A28:C28"/>
    <mergeCell ref="AA26:AQ26"/>
    <mergeCell ref="K10:AB10"/>
    <mergeCell ref="A30:C30"/>
    <mergeCell ref="A46:BD46"/>
    <mergeCell ref="AW1:BD1"/>
    <mergeCell ref="D27:G27"/>
    <mergeCell ref="H39:Z39"/>
    <mergeCell ref="K18:AB18"/>
    <mergeCell ref="AP38:AV38"/>
    <mergeCell ref="AC15:AL15"/>
    <mergeCell ref="A43:R45"/>
    <mergeCell ref="AI36:AO36"/>
    <mergeCell ref="K16:AB16"/>
    <mergeCell ref="AC8:AL8"/>
    <mergeCell ref="AR27:AW27"/>
    <mergeCell ref="AX25:BA25"/>
    <mergeCell ref="AR37:AW37"/>
    <mergeCell ref="D28:G28"/>
    <mergeCell ref="AC10:AL10"/>
    <mergeCell ref="S43:AJ45"/>
    <mergeCell ref="AQ3:AV3"/>
    <mergeCell ref="A8:J8"/>
    <mergeCell ref="H28:Z28"/>
    <mergeCell ref="A17:J17"/>
    <mergeCell ref="AA22:AQ22"/>
    <mergeCell ref="D25:G25"/>
    <mergeCell ref="D34:Q34"/>
    <mergeCell ref="AI37:AO37"/>
    <mergeCell ref="H37:Z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R36:AW36"/>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H36:Z36"/>
    <mergeCell ref="BA34:BD34"/>
    <mergeCell ref="BB24:BD24"/>
    <mergeCell ref="A32:BD32"/>
    <mergeCell ref="BA39:BD39"/>
    <mergeCell ref="AR23:AW23"/>
  </mergeCells>
  <conditionalFormatting sqref="AR25:AW40">
    <cfRule type="cellIs" priority="1" operator="equal" dxfId="0">
      <formula>"FAIL"</formula>
    </cfRule>
    <cfRule type="cellIs" priority="2" operator="equal" dxfId="1">
      <formula>"HOLD"</formula>
    </cfRule>
    <cfRule type="cellIs" priority="3" operator="equal" dxfId="2">
      <formula>"PASS"</formula>
    </cfRule>
  </conditionalFormatting>
  <conditionalFormatting sqref="AM21:BD21">
    <cfRule type="cellIs" priority="4" operator="equal" dxfId="1">
      <formula>"OPEN"</formula>
    </cfRule>
    <cfRule type="cellIs" priority="5" operator="equal" dxfId="2">
      <formula>"CLOSED"</formula>
    </cfRule>
    <cfRule type="cellIs" priority="6" operator="equal" dxfId="3">
      <formula>"IN PROGRESS"</formula>
    </cfRule>
  </conditionalFormatting>
  <dataValidations count="43">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 sqref="AJ14" showDropDown="0" showInputMessage="0" showErrorMessage="1" allowBlank="1" type="list">
      <formula1>"YES,NO"</formula1>
    </dataValidation>
    <dataValidation sqref="AJ13" showDropDown="0" showInputMessage="0" showErrorMessage="1" allowBlank="1" type="list">
      <formula1>"YES,NO"</formula1>
    </dataValidation>
    <dataValidation sqref="AR35" showDropDown="0" showInputMessage="0" showErrorMessage="1" allowBlank="1" error="Select PASS, HOLD, FAIL, or NA." type="list">
      <formula1>=VAL_RESULT_CORE</formula1>
    </dataValidation>
    <dataValidation sqref="AR36" showDropDown="0" showInputMessage="0" showErrorMessage="1" allowBlank="1" error="Select PASS, HOLD, FAIL, or NA." type="list">
      <formula1>=VAL_RESULT_CORE</formula1>
    </dataValidation>
    <dataValidation sqref="AR37" showDropDown="0" showInputMessage="0" showErrorMessage="1" allowBlank="1" error="Select PASS, HOLD, FAIL, or NA." type="list">
      <formula1>=VAL_RESULT_CORE</formula1>
    </dataValidation>
    <dataValidation sqref="AR38" showDropDown="0" showInputMessage="0" showErrorMessage="1" allowBlank="1" error="Select PASS, HOLD, FAIL, or NA." type="list">
      <formula1>=VAL_RESULT_CORE</formula1>
    </dataValidation>
    <dataValidation sqref="AR39" showDropDown="0" showInputMessage="0" showErrorMessage="1" allowBlank="1" error="Select PASS, HOLD, FAIL, or NA." type="list">
      <formula1>=VAL_RESULT_CORE</formula1>
    </dataValidation>
    <dataValidation sqref="AR40" showDropDown="0" showInputMessage="0" showErrorMessage="1" allowBlank="1" error="Select PASS, HOLD, FAIL, or NA." type="list">
      <formula1>=VAL_RESULT_CORE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9"/>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VAL_STATUS_CORE</t>
        </is>
      </c>
      <c r="C1" t="inlineStr">
        <is>
          <t>VAL_SETUP_FP_DECISION</t>
        </is>
      </c>
      <c r="D1" t="inlineStr">
        <is>
          <t>VAL_YES_NO</t>
        </is>
      </c>
      <c r="E1" t="inlineStr">
        <is>
          <t>VAL_RISK_LEVEL_CORE</t>
        </is>
      </c>
      <c r="F1" t="inlineStr">
        <is>
          <t>VAL_CK_CATEGORY</t>
        </is>
      </c>
    </row>
    <row r="2">
      <c r="A2" t="inlineStr">
        <is>
          <t>PASS</t>
        </is>
      </c>
      <c r="B2" t="inlineStr">
        <is>
          <t>OPEN</t>
        </is>
      </c>
      <c r="C2" t="inlineStr">
        <is>
          <t>PASS TO RUN</t>
        </is>
      </c>
      <c r="D2" t="inlineStr">
        <is>
          <t>YES</t>
        </is>
      </c>
      <c r="E2" t="inlineStr">
        <is>
          <t>LOW</t>
        </is>
      </c>
      <c r="F2" t="inlineStr">
        <is>
          <t>SET</t>
        </is>
      </c>
    </row>
    <row r="3">
      <c r="A3" t="inlineStr">
        <is>
          <t>HOLD</t>
        </is>
      </c>
      <c r="B3" t="inlineStr">
        <is>
          <t>IN PROGRESS</t>
        </is>
      </c>
      <c r="C3" t="inlineStr">
        <is>
          <t>HOLD FOR ENGINEERING</t>
        </is>
      </c>
      <c r="D3" t="inlineStr">
        <is>
          <t>NO</t>
        </is>
      </c>
      <c r="E3" t="inlineStr">
        <is>
          <t>MEDIUM</t>
        </is>
      </c>
      <c r="F3" t="inlineStr">
        <is>
          <t>TOOL</t>
        </is>
      </c>
    </row>
    <row r="4">
      <c r="A4" t="inlineStr">
        <is>
          <t>FAIL</t>
        </is>
      </c>
      <c r="B4" t="inlineStr">
        <is>
          <t>CLOSED</t>
        </is>
      </c>
      <c r="C4" t="inlineStr">
        <is>
          <t>RE-SETUP AND RECHECK</t>
        </is>
      </c>
      <c r="D4" t="inlineStr">
        <is>
          <t>NA</t>
        </is>
      </c>
      <c r="E4" t="inlineStr">
        <is>
          <t>HIGH</t>
        </is>
      </c>
      <c r="F4" t="inlineStr">
        <is>
          <t>GAGE</t>
        </is>
      </c>
    </row>
    <row r="5">
      <c r="A5" t="inlineStr">
        <is>
          <t>NA</t>
        </is>
      </c>
      <c r="B5" t="inlineStr">
        <is>
          <t>MONITORING</t>
        </is>
      </c>
      <c r="E5" t="inlineStr">
        <is>
          <t>CRITICAL</t>
        </is>
      </c>
      <c r="F5" t="inlineStr">
        <is>
          <t>QUA</t>
        </is>
      </c>
    </row>
    <row r="6">
      <c r="B6" t="inlineStr">
        <is>
          <t>SUPERSEDED</t>
        </is>
      </c>
      <c r="F6" t="inlineStr">
        <is>
          <t>OPS</t>
        </is>
      </c>
    </row>
    <row r="7">
      <c r="B7" t="inlineStr">
        <is>
          <t>VOID</t>
        </is>
      </c>
      <c r="F7" t="inlineStr">
        <is>
          <t>CON</t>
        </is>
      </c>
    </row>
    <row r="8" hidden="1">
      <c r="F8" t="inlineStr">
        <is>
          <t>REL</t>
        </is>
      </c>
    </row>
    <row r="9" hidden="1">
      <c r="F9" t="inlineStr">
        <is>
          <t>CNC</t>
        </is>
      </c>
    </row>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0" tabSelected="0" topLeftCell="A1" workbookViewId="0">
      <selection activeCell="A1" sqref="A1"/>
    </sheetView>
  </sheetViews>
  <sheetFormatPr baseColWidth="8" defaultRowHeight="15"/>
  <cols>
    <col hidden="1" width="13" customWidth="1" min="8" max="16384"/>
  </cols>
  <sheetData>
    <row r="1">
      <c r="A1" t="inlineStr">
        <is>
          <t>REF_JOB_WO_MASTER</t>
        </is>
      </c>
      <c r="B1" t="inlineStr">
        <is>
          <t>REF_PART_REV_MASTER</t>
        </is>
      </c>
      <c r="C1" t="inlineStr">
        <is>
          <t>REF_MACHINE_WC_MASTER</t>
        </is>
      </c>
      <c r="D1" t="inlineStr">
        <is>
          <t>REF_TOOLING_MASTER</t>
        </is>
      </c>
      <c r="E1" t="inlineStr">
        <is>
          <t>REF_GAGE_MASTER</t>
        </is>
      </c>
      <c r="F1" t="inlineStr">
        <is>
          <t>REF_OWNER_PERSON_MASTER</t>
        </is>
      </c>
      <c r="G1" t="inlineStr">
        <is>
          <t>REF_EVIDENCE_LINK</t>
        </is>
      </c>
    </row>
    <row r="2">
      <c r="A2" t="inlineStr">
        <is>
          <t>JOB-240001</t>
        </is>
      </c>
      <c r="B2" t="inlineStr">
        <is>
          <t>PN-1001 / Rev.A</t>
        </is>
      </c>
      <c r="C2" t="inlineStr">
        <is>
          <t>WC-3AX-01</t>
        </is>
      </c>
      <c r="D2" t="inlineStr">
        <is>
          <t>TL-001</t>
        </is>
      </c>
      <c r="E2" t="inlineStr">
        <is>
          <t>GAGE-001</t>
        </is>
      </c>
      <c r="F2" t="inlineStr">
        <is>
          <t>Planning Lead</t>
        </is>
      </c>
      <c r="G2" t="inlineStr">
        <is>
          <t>M365://dossier/JOB-240001</t>
        </is>
      </c>
    </row>
    <row r="3">
      <c r="A3" t="inlineStr">
        <is>
          <t>JOB-240002</t>
        </is>
      </c>
      <c r="B3" t="inlineStr">
        <is>
          <t>PN-1002 / Rev.B</t>
        </is>
      </c>
      <c r="C3" t="inlineStr">
        <is>
          <t>WC-5AX-02</t>
        </is>
      </c>
      <c r="D3" t="inlineStr">
        <is>
          <t>TL-002</t>
        </is>
      </c>
      <c r="E3" t="inlineStr">
        <is>
          <t>GAGE-002</t>
        </is>
      </c>
      <c r="F3" t="inlineStr">
        <is>
          <t>Production Supervisor</t>
        </is>
      </c>
      <c r="G3" t="inlineStr">
        <is>
          <t>Epicor://Job/JOB-240001</t>
        </is>
      </c>
    </row>
    <row r="4">
      <c r="A4" t="inlineStr">
        <is>
          <t>JOB-240003</t>
        </is>
      </c>
      <c r="B4" t="inlineStr">
        <is>
          <t>PN-1003 / Rev.C</t>
        </is>
      </c>
      <c r="C4" t="inlineStr">
        <is>
          <t>CELL-TURN-01</t>
        </is>
      </c>
      <c r="D4" t="inlineStr">
        <is>
          <t>FIX-010</t>
        </is>
      </c>
      <c r="E4" t="inlineStr">
        <is>
          <t>CMM-PROG-01</t>
        </is>
      </c>
      <c r="F4" t="inlineStr">
        <is>
          <t>QA Engineer</t>
        </is>
      </c>
      <c r="G4" t="inlineStr">
        <is>
          <t>SP://evidence/FRM-202/001</t>
        </is>
      </c>
    </row>
    <row r="5">
      <c r="C5" t="inlineStr">
        <is>
          <t>FIN-01</t>
        </is>
      </c>
      <c r="D5" t="inlineStr">
        <is>
          <t>HLD-022</t>
        </is>
      </c>
      <c r="E5" t="inlineStr">
        <is>
          <t>PIN-SET-04</t>
        </is>
      </c>
      <c r="F5" t="inlineStr">
        <is>
          <t>Engineering Lead</t>
        </is>
      </c>
    </row>
    <row r="6">
      <c r="F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8.390000000000001" customWidth="1" min="1" max="1"/>
    <col width="25.16" customWidth="1" min="2" max="2"/>
    <col width="25.16" customWidth="1" min="3" max="3"/>
    <col width="12.58" customWidth="1" min="4" max="4"/>
    <col width="12.58" customWidth="1" min="5" max="5"/>
    <col width="10.48" customWidth="1" min="6" max="6"/>
    <col width="16.77" customWidth="1" min="7" max="7"/>
    <col width="18.87" customWidth="1" min="8" max="8"/>
    <col hidden="1" outlineLevel="1" width="13" customWidth="1" min="9" max="16384"/>
  </cols>
  <sheetData>
    <row r="1" ht="15" customHeight="1">
      <c r="A1" s="391" t="n"/>
      <c r="B1" s="323" t="n"/>
      <c r="C1" s="392" t="inlineStr">
        <is>
          <t>FIRST-PIECE RESULTS</t>
        </is>
      </c>
      <c r="D1" s="268" t="n"/>
      <c r="E1" s="268" t="n"/>
      <c r="F1" s="323" t="n"/>
      <c r="G1" s="341" t="inlineStr">
        <is>
          <t>Form Code</t>
        </is>
      </c>
      <c r="H1" s="342" t="inlineStr">
        <is>
          <t>FRM-511</t>
        </is>
      </c>
    </row>
    <row r="2" ht="15" customHeight="1">
      <c r="A2" s="275" t="n"/>
      <c r="B2" s="324" t="n"/>
      <c r="C2" s="275" t="n"/>
      <c r="F2" s="324" t="n"/>
      <c r="G2" s="348" t="inlineStr">
        <is>
          <t>Revision</t>
        </is>
      </c>
      <c r="H2" s="349" t="inlineStr">
        <is>
          <t>V1</t>
        </is>
      </c>
    </row>
    <row r="3" ht="15" customHeight="1">
      <c r="A3" s="275" t="n"/>
      <c r="B3" s="324" t="n"/>
      <c r="C3" s="282" t="n"/>
      <c r="D3" s="283" t="n"/>
      <c r="E3" s="283" t="n"/>
      <c r="F3" s="287" t="n"/>
      <c r="G3" s="348" t="inlineStr">
        <is>
          <t>Eff. Date</t>
        </is>
      </c>
      <c r="H3" s="349" t="inlineStr">
        <is>
          <t>2026-03-22</t>
        </is>
      </c>
    </row>
    <row r="4" ht="15" customHeight="1">
      <c r="A4" s="275" t="n"/>
      <c r="B4" s="324" t="n"/>
      <c r="C4" s="393" t="inlineStr">
        <is>
          <t>Quality Management System  ·  Controlled Document</t>
        </is>
      </c>
      <c r="D4" s="289" t="n"/>
      <c r="E4" s="289" t="n"/>
      <c r="F4" s="290" t="n"/>
      <c r="G4" s="348" t="inlineStr">
        <is>
          <t>Owner</t>
        </is>
      </c>
      <c r="H4" s="349" t="inlineStr"/>
    </row>
    <row r="5" ht="15" customHeight="1">
      <c r="A5" s="282" t="n"/>
      <c r="B5" s="287" t="n"/>
      <c r="C5" s="394" t="inlineStr">
        <is>
          <t>HESEM Engineering  ·  ISO 9001 / AS9100  ·  Semiconductor Equipment Parts</t>
        </is>
      </c>
      <c r="D5" s="289" t="n"/>
      <c r="E5" s="289" t="n"/>
      <c r="F5" s="290" t="n"/>
      <c r="G5" s="361" t="inlineStr">
        <is>
          <t>Approved</t>
        </is>
      </c>
      <c r="H5" s="362" t="inlineStr"/>
    </row>
    <row r="6" ht="4" customHeight="1">
      <c r="A6" s="391" t="n"/>
      <c r="B6" s="289" t="n"/>
      <c r="C6" s="289" t="n"/>
      <c r="D6" s="289" t="n"/>
      <c r="E6" s="289" t="n"/>
      <c r="F6" s="289" t="n"/>
      <c r="G6" s="289" t="n"/>
      <c r="H6" s="290" t="n"/>
    </row>
    <row r="7" ht="17" customHeight="1">
      <c r="A7" s="395" t="inlineStr">
        <is>
          <t>1.  CONTROL CONTEXT / SUPPORT TAB PURPOSE</t>
        </is>
      </c>
      <c r="B7" s="289" t="n"/>
      <c r="C7" s="289" t="n"/>
      <c r="D7" s="289" t="n"/>
      <c r="E7" s="289" t="n"/>
      <c r="F7" s="289" t="n"/>
      <c r="G7" s="289" t="n"/>
      <c r="H7" s="290" t="n"/>
    </row>
    <row r="8" ht="20" customHeight="1">
      <c r="A8" s="386" t="inlineStr">
        <is>
          <t>Parent Form</t>
        </is>
      </c>
      <c r="B8" s="290" t="n"/>
      <c r="C8" s="396" t="inlineStr">
        <is>
          <t>FRM-511 · SETUP AND FIRST-PIECE RECORD</t>
        </is>
      </c>
      <c r="D8" s="290" t="n"/>
      <c r="E8" s="386" t="inlineStr">
        <is>
          <t>Support Tab</t>
        </is>
      </c>
      <c r="F8" s="290" t="n"/>
      <c r="G8" s="396" t="inlineStr">
        <is>
          <t>FP_RESULTS</t>
        </is>
      </c>
      <c r="H8" s="290" t="n"/>
    </row>
    <row r="9" ht="20" customHeight="1">
      <c r="A9" s="386" t="inlineStr">
        <is>
          <t>Tab Purpose</t>
        </is>
      </c>
      <c r="B9" s="290" t="n"/>
      <c r="C9" s="396" t="inlineStr">
        <is>
          <t>One line per first-piece result or critical characteristic.</t>
        </is>
      </c>
      <c r="D9" s="290" t="n"/>
      <c r="E9" s="386" t="inlineStr">
        <is>
          <t>Working Owner</t>
        </is>
      </c>
      <c r="F9" s="290" t="n"/>
      <c r="G9" s="396" t="inlineStr"/>
      <c r="H9" s="290" t="n"/>
    </row>
    <row r="10" ht="20" customHeight="1">
      <c r="A10" s="386" t="inlineStr">
        <is>
          <t>Source of Truth</t>
        </is>
      </c>
      <c r="B10" s="290" t="n"/>
      <c r="C10" s="396" t="inlineStr">
        <is>
          <t>Use controlled parent-form references, _IMPORT lists and approved evidence sources only.</t>
        </is>
      </c>
      <c r="D10" s="290" t="n"/>
      <c r="E10" s="386" t="inlineStr">
        <is>
          <t>Reviewed By</t>
        </is>
      </c>
      <c r="F10" s="290" t="n"/>
      <c r="G10" s="396" t="inlineStr"/>
      <c r="H10" s="290" t="n"/>
    </row>
    <row r="11" ht="20" customHeight="1">
      <c r="A11" s="386" t="inlineStr">
        <is>
          <t>Update Trigger</t>
        </is>
      </c>
      <c r="B11" s="290" t="n"/>
      <c r="C11" s="396" t="inlineStr">
        <is>
          <t>Update when the linked review, evidence or follow-up status changes.</t>
        </is>
      </c>
      <c r="D11" s="290" t="n"/>
      <c r="E11" s="386" t="inlineStr">
        <is>
          <t>Data Structure</t>
        </is>
      </c>
      <c r="F11" s="290" t="n"/>
      <c r="G11" s="396" t="inlineStr">
        <is>
          <t>Structured Excel Table with filters and print-title rows.</t>
        </is>
      </c>
      <c r="H11" s="290" t="n"/>
    </row>
    <row r="12" ht="20" customHeight="1">
      <c r="A12" s="386" t="inlineStr">
        <is>
          <t>Retention Rule</t>
        </is>
      </c>
      <c r="B12" s="290" t="n"/>
      <c r="C12" s="396" t="inlineStr">
        <is>
          <t>Do not delete historical lines once evidence has been recorded or reviewed.</t>
        </is>
      </c>
      <c r="D12" s="290" t="n"/>
      <c r="E12" s="386" t="inlineStr">
        <is>
          <t>Controlled Status</t>
        </is>
      </c>
      <c r="F12" s="290" t="n"/>
      <c r="G12" s="396" t="inlineStr">
        <is>
          <t>Support sheet only — not a replacement for ERP / M365 system-of-record.</t>
        </is>
      </c>
      <c r="H12" s="290" t="n"/>
    </row>
    <row r="13" ht="4" customHeight="1">
      <c r="A13" s="391" t="n"/>
      <c r="B13" s="289" t="n"/>
      <c r="C13" s="289" t="n"/>
      <c r="D13" s="289" t="n"/>
      <c r="E13" s="289" t="n"/>
      <c r="F13" s="289" t="n"/>
      <c r="G13" s="289" t="n"/>
      <c r="H13" s="290" t="n"/>
    </row>
    <row r="14" ht="17" customHeight="1">
      <c r="A14" s="395" t="inlineStr">
        <is>
          <t>2.  WORKING TABLE / DETAIL LINES</t>
        </is>
      </c>
      <c r="B14" s="289" t="n"/>
      <c r="C14" s="289" t="n"/>
      <c r="D14" s="289" t="n"/>
      <c r="E14" s="289" t="n"/>
      <c r="F14" s="289" t="n"/>
      <c r="G14" s="289" t="n"/>
      <c r="H14" s="290" t="n"/>
    </row>
    <row r="15" ht="24" customHeight="1">
      <c r="A15" s="397" t="inlineStr">
        <is>
          <t>One line per first-piece result. Include CMM program rev in Evidence Ref. Note measurement uncertainty U(k=2) in Note column for tight-tolerance features.</t>
        </is>
      </c>
      <c r="B15" s="289" t="n"/>
      <c r="C15" s="289" t="n"/>
      <c r="D15" s="289" t="n"/>
      <c r="E15" s="289" t="n"/>
      <c r="F15" s="289" t="n"/>
      <c r="G15" s="289" t="n"/>
      <c r="H15" s="290" t="n"/>
    </row>
    <row r="16" ht="18" customHeight="1">
      <c r="A16" s="376" t="inlineStr">
        <is>
          <t>#</t>
        </is>
      </c>
      <c r="B16" s="377" t="inlineStr">
        <is>
          <t>Characteristic / Check</t>
        </is>
      </c>
      <c r="C16" s="377" t="inlineStr">
        <is>
          <t>Requirement</t>
        </is>
      </c>
      <c r="D16" s="377" t="inlineStr">
        <is>
          <t>Actual Result</t>
        </is>
      </c>
      <c r="E16" s="377" t="inlineStr">
        <is>
          <t>Result</t>
        </is>
      </c>
      <c r="F16" s="377" t="inlineStr">
        <is>
          <t>Reviewer</t>
        </is>
      </c>
      <c r="G16" s="377" t="inlineStr">
        <is>
          <t>Evidence Ref</t>
        </is>
      </c>
      <c r="H16" s="378" t="inlineStr">
        <is>
          <t>U(k=2) / Note</t>
        </is>
      </c>
    </row>
    <row r="17" ht="20" customHeight="1">
      <c r="A17" s="379">
        <f>ROW()-ROW($A$17)+1</f>
        <v/>
      </c>
      <c r="B17" s="380" t="n"/>
      <c r="C17" s="380" t="n"/>
      <c r="D17" s="380" t="n"/>
      <c r="E17" s="380" t="n"/>
      <c r="F17" s="380" t="n"/>
      <c r="G17" s="380" t="n"/>
      <c r="H17" s="349" t="n"/>
    </row>
    <row r="18" ht="20" customHeight="1">
      <c r="A18" s="379">
        <f>ROW()-ROW($A$17)+1</f>
        <v/>
      </c>
      <c r="B18" s="381" t="n"/>
      <c r="C18" s="381" t="n"/>
      <c r="D18" s="381" t="n"/>
      <c r="E18" s="381" t="n"/>
      <c r="F18" s="381" t="n"/>
      <c r="G18" s="381" t="n"/>
      <c r="H18" s="382" t="n"/>
    </row>
    <row r="19" ht="20" customHeight="1">
      <c r="A19" s="379">
        <f>ROW()-ROW($A$17)+1</f>
        <v/>
      </c>
      <c r="B19" s="380" t="n"/>
      <c r="C19" s="380" t="n"/>
      <c r="D19" s="380" t="n"/>
      <c r="E19" s="380" t="n"/>
      <c r="F19" s="380" t="n"/>
      <c r="G19" s="380" t="n"/>
      <c r="H19" s="349" t="n"/>
    </row>
    <row r="20" ht="20" customHeight="1">
      <c r="A20" s="379">
        <f>ROW()-ROW($A$17)+1</f>
        <v/>
      </c>
      <c r="B20" s="381" t="n"/>
      <c r="C20" s="381" t="n"/>
      <c r="D20" s="381" t="n"/>
      <c r="E20" s="381" t="n"/>
      <c r="F20" s="381" t="n"/>
      <c r="G20" s="381" t="n"/>
      <c r="H20" s="382" t="n"/>
    </row>
    <row r="21" ht="20" customHeight="1">
      <c r="A21" s="379">
        <f>ROW()-ROW($A$17)+1</f>
        <v/>
      </c>
      <c r="B21" s="380" t="n"/>
      <c r="C21" s="380" t="n"/>
      <c r="D21" s="380" t="n"/>
      <c r="E21" s="380" t="n"/>
      <c r="F21" s="380" t="n"/>
      <c r="G21" s="380" t="n"/>
      <c r="H21" s="349" t="n"/>
    </row>
    <row r="22" ht="20" customHeight="1">
      <c r="A22" s="379">
        <f>ROW()-ROW($A$17)+1</f>
        <v/>
      </c>
      <c r="B22" s="381" t="n"/>
      <c r="C22" s="381" t="n"/>
      <c r="D22" s="381" t="n"/>
      <c r="E22" s="381" t="n"/>
      <c r="F22" s="381" t="n"/>
      <c r="G22" s="381" t="n"/>
      <c r="H22" s="382" t="n"/>
    </row>
    <row r="23" ht="20" customHeight="1">
      <c r="A23" s="379">
        <f>ROW()-ROW($A$17)+1</f>
        <v/>
      </c>
      <c r="B23" s="380" t="n"/>
      <c r="C23" s="380" t="n"/>
      <c r="D23" s="380" t="n"/>
      <c r="E23" s="380" t="n"/>
      <c r="F23" s="380" t="n"/>
      <c r="G23" s="380" t="n"/>
      <c r="H23" s="349" t="n"/>
    </row>
    <row r="24" ht="20" customHeight="1">
      <c r="A24" s="379">
        <f>ROW()-ROW($A$17)+1</f>
        <v/>
      </c>
      <c r="B24" s="381" t="n"/>
      <c r="C24" s="381" t="n"/>
      <c r="D24" s="381" t="n"/>
      <c r="E24" s="381" t="n"/>
      <c r="F24" s="381" t="n"/>
      <c r="G24" s="381" t="n"/>
      <c r="H24" s="382" t="n"/>
    </row>
    <row r="25" ht="20" customHeight="1">
      <c r="A25" s="379">
        <f>ROW()-ROW($A$17)+1</f>
        <v/>
      </c>
      <c r="B25" s="380" t="n"/>
      <c r="C25" s="380" t="n"/>
      <c r="D25" s="380" t="n"/>
      <c r="E25" s="380" t="n"/>
      <c r="F25" s="380" t="n"/>
      <c r="G25" s="380" t="n"/>
      <c r="H25" s="349" t="n"/>
    </row>
    <row r="26" ht="20" customHeight="1">
      <c r="A26" s="379">
        <f>ROW()-ROW($A$17)+1</f>
        <v/>
      </c>
      <c r="B26" s="381" t="n"/>
      <c r="C26" s="381" t="n"/>
      <c r="D26" s="381" t="n"/>
      <c r="E26" s="381" t="n"/>
      <c r="F26" s="381" t="n"/>
      <c r="G26" s="381" t="n"/>
      <c r="H26" s="382" t="n"/>
    </row>
    <row r="27" ht="20" customHeight="1">
      <c r="A27" s="379">
        <f>ROW()-ROW($A$17)+1</f>
        <v/>
      </c>
      <c r="B27" s="380" t="n"/>
      <c r="C27" s="380" t="n"/>
      <c r="D27" s="380" t="n"/>
      <c r="E27" s="380" t="n"/>
      <c r="F27" s="380" t="n"/>
      <c r="G27" s="380" t="n"/>
      <c r="H27" s="349" t="n"/>
    </row>
    <row r="28" ht="20" customHeight="1">
      <c r="A28" s="383">
        <f>ROW()-ROW($A$17)+1</f>
        <v/>
      </c>
      <c r="B28" s="384" t="n"/>
      <c r="C28" s="384" t="n"/>
      <c r="D28" s="384" t="n"/>
      <c r="E28" s="384" t="n"/>
      <c r="F28" s="384" t="n"/>
      <c r="G28" s="384" t="n"/>
      <c r="H28" s="385" t="n"/>
    </row>
    <row r="30" ht="24" customHeight="1">
      <c r="A30" s="397"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28"/>
  <sheetViews>
    <sheetView showGridLines="0" workbookViewId="0">
      <selection activeCell="A1" sqref="A1"/>
    </sheetView>
  </sheetViews>
  <sheetFormatPr baseColWidth="8" defaultRowHeight="15"/>
  <cols>
    <col width="11.56" customWidth="1" min="1" max="1"/>
    <col width="27.44" customWidth="1" min="2" max="2"/>
    <col width="14.44" customWidth="1" min="3" max="3"/>
    <col width="17.33" customWidth="1" min="4" max="4"/>
    <col width="18.78" customWidth="1" min="5" max="5"/>
    <col width="23.11" customWidth="1" min="6" max="6"/>
    <col width="17.33" customWidth="1" min="7" max="7"/>
    <col hidden="1" outlineLevel="1" width="13" customWidth="1" min="8" max="16384"/>
  </cols>
  <sheetData>
    <row r="1" ht="15" customHeight="1">
      <c r="A1" s="391" t="n"/>
      <c r="B1" s="323" t="n"/>
      <c r="C1" s="392" t="inlineStr">
        <is>
          <t>ADJUSTMENT HISTORY</t>
        </is>
      </c>
      <c r="D1" s="268" t="n"/>
      <c r="E1" s="323" t="n"/>
      <c r="F1" s="341" t="inlineStr">
        <is>
          <t>Form Code</t>
        </is>
      </c>
      <c r="G1" s="342" t="inlineStr">
        <is>
          <t>FRM-511</t>
        </is>
      </c>
    </row>
    <row r="2" ht="15" customHeight="1">
      <c r="A2" s="275" t="n"/>
      <c r="B2" s="324" t="n"/>
      <c r="C2" s="275" t="n"/>
      <c r="E2" s="324" t="n"/>
      <c r="F2" s="348" t="inlineStr">
        <is>
          <t>Revision</t>
        </is>
      </c>
      <c r="G2" s="349" t="inlineStr">
        <is>
          <t>V0</t>
        </is>
      </c>
    </row>
    <row r="3" ht="15" customHeight="1">
      <c r="A3" s="275" t="n"/>
      <c r="B3" s="324" t="n"/>
      <c r="C3" s="282" t="n"/>
      <c r="D3" s="283" t="n"/>
      <c r="E3" s="287" t="n"/>
      <c r="F3" s="348" t="inlineStr">
        <is>
          <t>Eff. Date</t>
        </is>
      </c>
      <c r="G3" s="349" t="inlineStr">
        <is>
          <t>YYYY-MM-DD</t>
        </is>
      </c>
    </row>
    <row r="4" ht="15" customHeight="1">
      <c r="A4" s="275" t="n"/>
      <c r="B4" s="324" t="n"/>
      <c r="C4" s="393" t="inlineStr">
        <is>
          <t>Quality Management System  ·  Controlled Document</t>
        </is>
      </c>
      <c r="D4" s="289" t="n"/>
      <c r="E4" s="290" t="n"/>
      <c r="F4" s="348" t="inlineStr">
        <is>
          <t>Owner</t>
        </is>
      </c>
      <c r="G4" s="349" t="inlineStr"/>
    </row>
    <row r="5" ht="15" customHeight="1">
      <c r="A5" s="282" t="n"/>
      <c r="B5" s="287" t="n"/>
      <c r="C5" s="394" t="inlineStr">
        <is>
          <t>HESEM Engineering  ·  ISO 9001 / AS9100  ·  Semiconductor Equipment Parts</t>
        </is>
      </c>
      <c r="D5" s="289" t="n"/>
      <c r="E5" s="290" t="n"/>
      <c r="F5" s="361" t="inlineStr">
        <is>
          <t>Approved</t>
        </is>
      </c>
      <c r="G5" s="362" t="inlineStr"/>
    </row>
    <row r="6" ht="4" customHeight="1">
      <c r="A6" s="391" t="n"/>
      <c r="B6" s="289" t="n"/>
      <c r="C6" s="289" t="n"/>
      <c r="D6" s="289" t="n"/>
      <c r="E6" s="289" t="n"/>
      <c r="F6" s="289" t="n"/>
      <c r="G6" s="290" t="n"/>
    </row>
    <row r="7" ht="17" customHeight="1">
      <c r="A7" s="395" t="inlineStr">
        <is>
          <t>1.  CONTROL CONTEXT / SUPPORT TAB PURPOSE</t>
        </is>
      </c>
      <c r="B7" s="289" t="n"/>
      <c r="C7" s="289" t="n"/>
      <c r="D7" s="289" t="n"/>
      <c r="E7" s="289" t="n"/>
      <c r="F7" s="289" t="n"/>
      <c r="G7" s="290" t="n"/>
    </row>
    <row r="8" ht="20" customHeight="1">
      <c r="A8" s="386" t="inlineStr">
        <is>
          <t>Parent Form</t>
        </is>
      </c>
      <c r="B8" s="396" t="inlineStr">
        <is>
          <t>FRM-511 · SETUP AND FIRST-PIECE RECORD</t>
        </is>
      </c>
      <c r="C8" s="289" t="n"/>
      <c r="D8" s="290" t="n"/>
      <c r="E8" s="386" t="inlineStr">
        <is>
          <t>Support Tab</t>
        </is>
      </c>
      <c r="F8" s="396" t="inlineStr">
        <is>
          <t>ADJUSTMENTS</t>
        </is>
      </c>
      <c r="G8" s="290" t="n"/>
    </row>
    <row r="9" ht="20" customHeight="1">
      <c r="A9" s="386" t="inlineStr">
        <is>
          <t>Tab Purpose</t>
        </is>
      </c>
      <c r="B9" s="396" t="inlineStr">
        <is>
          <t>Track setup or offset adjustments prior to release.</t>
        </is>
      </c>
      <c r="C9" s="289" t="n"/>
      <c r="D9" s="290" t="n"/>
      <c r="E9" s="386" t="inlineStr">
        <is>
          <t>Working Owner</t>
        </is>
      </c>
      <c r="F9" s="396" t="inlineStr"/>
      <c r="G9" s="290" t="n"/>
    </row>
    <row r="10" ht="20" customHeight="1">
      <c r="A10" s="386" t="inlineStr">
        <is>
          <t>Source of Truth</t>
        </is>
      </c>
      <c r="B10" s="396" t="inlineStr">
        <is>
          <t>Use controlled parent-form references, _IMPORT lists and approved evidence sources only.</t>
        </is>
      </c>
      <c r="C10" s="289" t="n"/>
      <c r="D10" s="290" t="n"/>
      <c r="E10" s="386" t="inlineStr">
        <is>
          <t>Reviewed By</t>
        </is>
      </c>
      <c r="F10" s="396" t="inlineStr"/>
      <c r="G10" s="290" t="n"/>
    </row>
    <row r="11" ht="20" customHeight="1">
      <c r="A11" s="386" t="inlineStr">
        <is>
          <t>Update Trigger</t>
        </is>
      </c>
      <c r="B11" s="396" t="inlineStr">
        <is>
          <t>Update when the linked review, evidence or follow-up status changes.</t>
        </is>
      </c>
      <c r="C11" s="289" t="n"/>
      <c r="D11" s="290" t="n"/>
      <c r="E11" s="386" t="inlineStr">
        <is>
          <t>Data Structure</t>
        </is>
      </c>
      <c r="F11" s="396" t="inlineStr">
        <is>
          <t>Structured Excel Table with filters and print-title rows.</t>
        </is>
      </c>
      <c r="G11" s="290" t="n"/>
    </row>
    <row r="12" ht="20" customHeight="1">
      <c r="A12" s="386" t="inlineStr">
        <is>
          <t>Retention Rule</t>
        </is>
      </c>
      <c r="B12" s="396" t="inlineStr">
        <is>
          <t>Do not delete historical lines once evidence has been recorded or reviewed.</t>
        </is>
      </c>
      <c r="C12" s="289" t="n"/>
      <c r="D12" s="290" t="n"/>
      <c r="E12" s="386" t="inlineStr">
        <is>
          <t>Controlled Status</t>
        </is>
      </c>
      <c r="F12" s="396" t="inlineStr">
        <is>
          <t>Support sheet only — not a replacement for ERP / M365 system-of-record.</t>
        </is>
      </c>
      <c r="G12" s="290" t="n"/>
    </row>
    <row r="13" ht="4" customHeight="1">
      <c r="A13" s="391" t="n"/>
      <c r="B13" s="289" t="n"/>
      <c r="C13" s="289" t="n"/>
      <c r="D13" s="289" t="n"/>
      <c r="E13" s="289" t="n"/>
      <c r="F13" s="289" t="n"/>
      <c r="G13" s="290" t="n"/>
    </row>
    <row r="14" ht="17" customHeight="1">
      <c r="A14" s="395" t="inlineStr">
        <is>
          <t>2.  WORKING TABLE / DETAIL LINES</t>
        </is>
      </c>
      <c r="B14" s="289" t="n"/>
      <c r="C14" s="289" t="n"/>
      <c r="D14" s="289" t="n"/>
      <c r="E14" s="289" t="n"/>
      <c r="F14" s="289" t="n"/>
      <c r="G14" s="290" t="n"/>
    </row>
    <row r="15" ht="24" customHeight="1">
      <c r="A15" s="397" t="inlineStr">
        <is>
          <t>Track setup or offset adjustments prior to release.</t>
        </is>
      </c>
      <c r="B15" s="289" t="n"/>
      <c r="C15" s="289" t="n"/>
      <c r="D15" s="289" t="n"/>
      <c r="E15" s="289" t="n"/>
      <c r="F15" s="289" t="n"/>
      <c r="G15" s="290" t="n"/>
    </row>
    <row r="16" ht="18" customHeight="1">
      <c r="A16" s="376" t="inlineStr">
        <is>
          <t>#</t>
        </is>
      </c>
      <c r="B16" s="377" t="inlineStr">
        <is>
          <t>Adjustment / Change</t>
        </is>
      </c>
      <c r="C16" s="377" t="inlineStr">
        <is>
          <t>Reason</t>
        </is>
      </c>
      <c r="D16" s="377" t="inlineStr">
        <is>
          <t>Owner</t>
        </is>
      </c>
      <c r="E16" s="377" t="inlineStr">
        <is>
          <t>DateTime</t>
        </is>
      </c>
      <c r="F16" s="377" t="inlineStr">
        <is>
          <t>Evidence Ref</t>
        </is>
      </c>
      <c r="G16" s="378" t="inlineStr">
        <is>
          <t>Status</t>
        </is>
      </c>
    </row>
    <row r="17" ht="20" customHeight="1">
      <c r="A17" s="379">
        <f>ROW()-ROW($A$17)+1</f>
        <v/>
      </c>
      <c r="B17" s="380" t="n"/>
      <c r="C17" s="380" t="n"/>
      <c r="D17" s="380" t="n"/>
      <c r="E17" s="388" t="n"/>
      <c r="F17" s="380" t="n"/>
      <c r="G17" s="349" t="n"/>
    </row>
    <row r="18" ht="20" customHeight="1">
      <c r="A18" s="379">
        <f>ROW()-ROW($A$17)+1</f>
        <v/>
      </c>
      <c r="B18" s="381" t="n"/>
      <c r="C18" s="381" t="n"/>
      <c r="D18" s="381" t="n"/>
      <c r="E18" s="389" t="n"/>
      <c r="F18" s="381" t="n"/>
      <c r="G18" s="382" t="n"/>
    </row>
    <row r="19" ht="20" customHeight="1">
      <c r="A19" s="379">
        <f>ROW()-ROW($A$17)+1</f>
        <v/>
      </c>
      <c r="B19" s="380" t="n"/>
      <c r="C19" s="380" t="n"/>
      <c r="D19" s="380" t="n"/>
      <c r="E19" s="388" t="n"/>
      <c r="F19" s="380" t="n"/>
      <c r="G19" s="349" t="n"/>
    </row>
    <row r="20" ht="20" customHeight="1">
      <c r="A20" s="379">
        <f>ROW()-ROW($A$17)+1</f>
        <v/>
      </c>
      <c r="B20" s="381" t="n"/>
      <c r="C20" s="381" t="n"/>
      <c r="D20" s="381" t="n"/>
      <c r="E20" s="389" t="n"/>
      <c r="F20" s="381" t="n"/>
      <c r="G20" s="382" t="n"/>
    </row>
    <row r="21" ht="20" customHeight="1">
      <c r="A21" s="379">
        <f>ROW()-ROW($A$17)+1</f>
        <v/>
      </c>
      <c r="B21" s="380" t="n"/>
      <c r="C21" s="380" t="n"/>
      <c r="D21" s="380" t="n"/>
      <c r="E21" s="388" t="n"/>
      <c r="F21" s="380" t="n"/>
      <c r="G21" s="349" t="n"/>
    </row>
    <row r="22" ht="20" customHeight="1">
      <c r="A22" s="379">
        <f>ROW()-ROW($A$17)+1</f>
        <v/>
      </c>
      <c r="B22" s="381" t="n"/>
      <c r="C22" s="381" t="n"/>
      <c r="D22" s="381" t="n"/>
      <c r="E22" s="389" t="n"/>
      <c r="F22" s="381" t="n"/>
      <c r="G22" s="382" t="n"/>
    </row>
    <row r="23" ht="20" customHeight="1">
      <c r="A23" s="379">
        <f>ROW()-ROW($A$17)+1</f>
        <v/>
      </c>
      <c r="B23" s="380" t="n"/>
      <c r="C23" s="380" t="n"/>
      <c r="D23" s="380" t="n"/>
      <c r="E23" s="388" t="n"/>
      <c r="F23" s="380" t="n"/>
      <c r="G23" s="349" t="n"/>
    </row>
    <row r="24" ht="20" customHeight="1">
      <c r="A24" s="379">
        <f>ROW()-ROW($A$17)+1</f>
        <v/>
      </c>
      <c r="B24" s="381" t="n"/>
      <c r="C24" s="381" t="n"/>
      <c r="D24" s="381" t="n"/>
      <c r="E24" s="389" t="n"/>
      <c r="F24" s="381" t="n"/>
      <c r="G24" s="382" t="n"/>
    </row>
    <row r="25" ht="20" customHeight="1">
      <c r="A25" s="379">
        <f>ROW()-ROW($A$17)+1</f>
        <v/>
      </c>
      <c r="B25" s="380" t="n"/>
      <c r="C25" s="380" t="n"/>
      <c r="D25" s="380" t="n"/>
      <c r="E25" s="388" t="n"/>
      <c r="F25" s="380" t="n"/>
      <c r="G25" s="349" t="n"/>
    </row>
    <row r="26" ht="20" customHeight="1">
      <c r="A26" s="383">
        <f>ROW()-ROW($A$17)+1</f>
        <v/>
      </c>
      <c r="B26" s="384" t="n"/>
      <c r="C26" s="384" t="n"/>
      <c r="D26" s="384" t="n"/>
      <c r="E26" s="390" t="n"/>
      <c r="F26" s="384" t="n"/>
      <c r="G26" s="385" t="n"/>
    </row>
    <row r="28" ht="24" customHeight="1">
      <c r="A28" s="397" t="inlineStr">
        <is>
          <t>NOTICE  —  Track setup or offset adjustments prior to release.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setup baseline, FP evidence and job packet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8" customWidth="1" min="1" max="1"/>
    <col width="14" customWidth="1" min="2" max="2"/>
    <col width="45" customWidth="1" min="3" max="3"/>
    <col width="18" customWidth="1" min="4" max="4"/>
    <col width="18" customWidth="1" min="5" max="5"/>
  </cols>
  <sheetData>
    <row r="1">
      <c r="A1" s="412" t="inlineStr">
        <is>
          <t>Rev</t>
        </is>
      </c>
      <c r="B1" s="412" t="inlineStr">
        <is>
          <t>Date</t>
        </is>
      </c>
      <c r="C1" s="412" t="inlineStr">
        <is>
          <t>Description</t>
        </is>
      </c>
      <c r="D1" s="412" t="inlineStr">
        <is>
          <t>Author</t>
        </is>
      </c>
      <c r="E1" s="412" t="inlineStr">
        <is>
          <t>Approved By</t>
        </is>
      </c>
    </row>
    <row r="2">
      <c r="A2" s="413" t="inlineStr">
        <is>
          <t>V0</t>
        </is>
      </c>
      <c r="B2" s="413" t="inlineStr">
        <is>
          <t>2026-03-21</t>
        </is>
      </c>
      <c r="C2" s="413" t="inlineStr">
        <is>
          <t>Initial controlled baseline</t>
        </is>
      </c>
      <c r="D2" s="413" t="inlineStr">
        <is>
          <t>QMS</t>
        </is>
      </c>
      <c r="E2" s="413" t="inlineStr">
        <is>
          <t>General Manager</t>
        </is>
      </c>
    </row>
    <row r="3">
      <c r="A3" s="413" t="inlineStr">
        <is>
          <t>V1</t>
        </is>
      </c>
      <c r="B3" s="413" t="inlineStr">
        <is>
          <t>2026-03-22</t>
        </is>
      </c>
      <c r="C3" s="413" t="inlineStr">
        <is>
          <t>Upgrade: CNC fields, cross-form linkage, conditional formatting, parent procedure ref</t>
        </is>
      </c>
      <c r="D3" s="413" t="inlineStr">
        <is>
          <t>QMS</t>
        </is>
      </c>
      <c r="E3" s="413" t="inlineStr">
        <is>
          <t>General Manager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2026-03-22T16:25:45Z</dcterms:modified>
</cp:coreProperties>
</file>