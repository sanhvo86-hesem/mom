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2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ACTIONS" sheetId="4" state="visible" r:id="rId4"/>
    <sheet xmlns:r="http://schemas.openxmlformats.org/officeDocument/2006/relationships" name="REF_LINKS" sheetId="5" state="veryHidden" r:id="rId5"/>
    <sheet xmlns:r="http://schemas.openxmlformats.org/officeDocument/2006/relationships" name="_REVHIST" sheetId="6" state="hidden" r:id="rId6"/>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'FRM-202_GATE'!$1:$21</definedName>
    <definedName name="_xlnm.Print_Area" localSheetId="0">'FRM-202_GATE'!$A$1:$AN$47</definedName>
    <definedName name="_xlnm.Print_Titles" localSheetId="3">'ACTIONS'!$1:$16</definedName>
    <definedName name="_xlnm.Print_Area" localSheetId="3">'ACTIONS'!$A$1:$H$28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64">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F1F5F9"/>
        <bgColor rgb="00F1F5F9"/>
      </patternFill>
    </fill>
    <fill>
      <patternFill patternType="solid">
        <fgColor rgb="00D7F0E2"/>
        <bgColor rgb="00D7F0E2"/>
      </patternFill>
    </fill>
    <fill>
      <patternFill patternType="solid">
        <fgColor rgb="00FFFFFF"/>
        <bgColor rgb="00FFFFFF"/>
      </patternFill>
    </fill>
    <fill>
      <patternFill patternType="solid">
        <fgColor rgb="00F8FAFC"/>
        <bgColor rgb="00F8FAFC"/>
      </patternFill>
    </fill>
    <fill>
      <patternFill patternType="solid">
        <fgColor rgb="00FFF3C4"/>
        <bgColor rgb="00FFF3C4"/>
      </patternFill>
    </fill>
    <fill>
      <patternFill patternType="solid">
        <fgColor rgb="00F0D7E8"/>
        <bgColor rgb="00F0D7E8"/>
      </patternFill>
    </fill>
    <fill>
      <patternFill patternType="solid">
        <fgColor rgb="00005A9E"/>
        <bgColor rgb="00005A9E"/>
      </patternFill>
    </fill>
  </fills>
  <borders count="292">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left style="thin">
        <color rgb="000078D4"/>
      </left>
      <right style="thin">
        <color rgb="00E2E8F0"/>
      </right>
      <top style="thin">
        <color rgb="000078D4"/>
      </top>
      <bottom style="thin">
        <color rgb="000078D4"/>
      </bottom>
    </border>
    <border>
      <left style="thin">
        <color rgb="00E2E8F0"/>
      </left>
      <right style="thin">
        <color rgb="00E2E8F0"/>
      </right>
      <top style="thin">
        <color rgb="000078D4"/>
      </top>
      <bottom style="thin">
        <color rgb="000078D4"/>
      </bottom>
    </border>
  </borders>
  <cellStyleXfs count="1">
    <xf numFmtId="0" fontId="0" fillId="0" borderId="0"/>
  </cellStyleXfs>
  <cellXfs count="41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12" fillId="57" borderId="290" applyAlignment="1" pivotButton="0" quotePrefix="0" xfId="0">
      <alignment horizontal="center" vertical="center"/>
    </xf>
    <xf numFmtId="0" fontId="14" fillId="58" borderId="291" applyAlignment="1" pivotButton="0" quotePrefix="0" xfId="0">
      <alignment horizontal="center" vertical="center"/>
    </xf>
    <xf numFmtId="0" fontId="6" fillId="59" borderId="291" applyAlignment="1" pivotButton="0" quotePrefix="0" xfId="0">
      <alignment horizontal="left" vertical="center" wrapText="1"/>
    </xf>
    <xf numFmtId="0" fontId="6" fillId="57" borderId="291" applyAlignment="1" pivotButton="0" quotePrefix="0" xfId="0">
      <alignment horizontal="left" vertical="center" wrapText="1"/>
    </xf>
    <xf numFmtId="0" fontId="6" fillId="59" borderId="291" applyAlignment="1" applyProtection="1" pivotButton="0" quotePrefix="0" xfId="0">
      <alignment horizontal="center" vertical="center"/>
      <protection locked="0" hidden="0"/>
    </xf>
    <xf numFmtId="0" fontId="6" fillId="59" borderId="285" applyAlignment="1" applyProtection="1" pivotButton="0" quotePrefix="0" xfId="0">
      <alignment horizontal="center" vertical="center"/>
      <protection locked="0" hidden="0"/>
    </xf>
    <xf numFmtId="0" fontId="6" fillId="60" borderId="291" applyAlignment="1" pivotButton="0" quotePrefix="0" xfId="0">
      <alignment horizontal="left" vertical="center" wrapText="1"/>
    </xf>
    <xf numFmtId="0" fontId="14" fillId="61" borderId="291" applyAlignment="1" pivotButton="0" quotePrefix="0" xfId="0">
      <alignment horizontal="center" vertical="center"/>
    </xf>
    <xf numFmtId="0" fontId="14" fillId="62" borderId="291" applyAlignment="1" pivotButton="0" quotePrefix="0" xfId="0">
      <alignment horizontal="center" vertical="center"/>
    </xf>
    <xf numFmtId="0" fontId="12" fillId="57" borderId="290" applyAlignment="1" pivotButton="0" quotePrefix="0" xfId="0">
      <alignment horizontal="left" vertical="center"/>
    </xf>
    <xf numFmtId="0" fontId="6" fillId="59" borderId="291" applyAlignment="1" applyProtection="1" pivotButton="0" quotePrefix="0" xfId="0">
      <alignment horizontal="left" vertical="center"/>
      <protection locked="0" hidden="0"/>
    </xf>
    <xf numFmtId="0" fontId="12" fillId="57" borderId="291" applyAlignment="1" pivotButton="0" quotePrefix="0" xfId="0">
      <alignment horizontal="left" vertical="center"/>
    </xf>
    <xf numFmtId="0" fontId="6" fillId="59" borderId="285" applyAlignment="1" applyProtection="1" pivotButton="0" quotePrefix="0" xfId="0">
      <alignment horizontal="left" vertical="center"/>
      <protection locked="0" hidden="0"/>
    </xf>
    <xf numFmtId="0" fontId="6" fillId="57" borderId="291" applyAlignment="1" pivotButton="0" quotePrefix="0" xfId="0">
      <alignment horizontal="left" vertical="center"/>
    </xf>
    <xf numFmtId="0" fontId="6" fillId="57" borderId="285" applyAlignment="1" pivotButton="0" quotePrefix="0" xfId="0">
      <alignment horizontal="left" vertical="center"/>
    </xf>
    <xf numFmtId="0" fontId="4" fillId="63" borderId="0" applyAlignment="1" pivotButton="0" quotePrefix="0" xfId="0">
      <alignment horizontal="center" vertical="center"/>
    </xf>
    <xf numFmtId="0" fontId="6" fillId="0" borderId="0" pivotButton="0" quotePrefix="0" xfId="0"/>
  </cellXfs>
  <cellStyles count="1">
    <cellStyle name="Normal" xfId="0"/>
  </cellStyles>
  <dxfs count="4">
    <dxf>
      <font>
        <b val="1"/>
        <color rgb="00CC0000"/>
      </font>
      <fill>
        <patternFill patternType="solid">
          <fgColor rgb="00FFCCCC"/>
          <bgColor rgb="00FFCCCC"/>
        </patternFill>
      </fill>
    </dxf>
    <dxf>
      <fill>
        <patternFill patternType="solid">
          <fgColor rgb="00FFF3C4"/>
          <bgColor rgb="00FFF3C4"/>
        </patternFill>
      </fill>
    </dxf>
    <dxf>
      <fill>
        <patternFill patternType="solid">
          <fgColor rgb="00D7F0E2"/>
          <bgColor rgb="00D7F0E2"/>
        </patternFill>
      </fill>
    </dxf>
    <dxf>
      <fill>
        <patternFill patternType="solid">
          <fgColor rgb="00DBEAFE"/>
          <bgColor rgb="00DBEAF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54"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6" headerRowCount="1">
  <autoFilter ref="A16:H26"/>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54"/>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inlineStr"/>
      <c r="B1" s="268" t="n"/>
      <c r="C1" s="268" t="n"/>
      <c r="D1" s="268" t="n"/>
      <c r="E1" s="268" t="n"/>
      <c r="F1" s="268" t="n"/>
      <c r="G1" s="268" t="n"/>
      <c r="H1" s="268" t="n"/>
      <c r="I1" s="337" t="inlineStr">
        <is>
          <t>CONTRACT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FRM-202</t>
        </is>
      </c>
      <c r="AJ1" s="271" t="n"/>
      <c r="AK1" s="271" t="n"/>
      <c r="AL1" s="271" t="n"/>
      <c r="AM1" s="271" t="n"/>
      <c r="AN1" s="274" t="n"/>
    </row>
    <row r="2" ht="15" customHeight="1">
      <c r="A2" s="275" t="n"/>
      <c r="I2" s="275" t="n"/>
      <c r="AE2" s="276" t="inlineStr">
        <is>
          <t>Revision</t>
        </is>
      </c>
      <c r="AF2" s="277" t="n"/>
      <c r="AG2" s="277" t="n"/>
      <c r="AH2" s="278" t="n"/>
      <c r="AI2" s="279" t="inlineStr">
        <is>
          <t>V1</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2026-03-22</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Sales / CS</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General Manager</t>
        </is>
      </c>
      <c r="AJ5" s="283" t="n"/>
      <c r="AK5" s="283" t="n"/>
      <c r="AL5" s="283" t="n"/>
      <c r="AM5" s="283" t="n"/>
      <c r="AN5" s="287" t="n"/>
    </row>
    <row r="6" ht="4" customHeight="1">
      <c r="A6" s="25" t="inlineStr"/>
    </row>
    <row r="7" ht="17" customHeight="1">
      <c r="A7" s="288" t="inlineStr">
        <is>
          <t>1.  CONTRACT BASELINE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293" t="inlineStr">
        <is>
          <t>Quote / RFQ ID</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297" t="inlineStr">
        <is>
          <t>PO / Contract ID</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0" customHeight="1">
      <c r="A10" s="295" t="inlineStr">
        <is>
          <t>Quantity / Due Date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297" t="inlineStr">
        <is>
          <t>Commercial Owner</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295" t="inlineStr">
        <is>
          <t>Special Requirements / QPL</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297"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298" t="inlineStr">
        <is>
          <t>Evidence Folder / Dossier Link</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GATE DECISION / CONDITIONS TO RELEASE</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Gate Name / Trigger</t>
        </is>
      </c>
      <c r="B15" s="271" t="n"/>
      <c r="C15" s="271" t="n"/>
      <c r="D15" s="271" t="n"/>
      <c r="E15" s="271" t="n"/>
      <c r="F15" s="271" t="n"/>
      <c r="G15" s="272" t="n"/>
      <c r="H15" s="292" t="inlineStr">
        <is>
          <t>Contract acceptance before work release</t>
        </is>
      </c>
      <c r="I15" s="271" t="n"/>
      <c r="J15" s="271" t="n"/>
      <c r="K15" s="271" t="n"/>
      <c r="L15" s="271" t="n"/>
      <c r="M15" s="271" t="n"/>
      <c r="N15" s="271" t="n"/>
      <c r="O15" s="271" t="n"/>
      <c r="P15" s="271" t="n"/>
      <c r="Q15" s="271" t="n"/>
      <c r="R15" s="271" t="n"/>
      <c r="S15" s="271" t="n"/>
      <c r="T15" s="272" t="n"/>
      <c r="U15" s="293" t="inlineStr">
        <is>
          <t>Gate Conclusion</t>
        </is>
      </c>
      <c r="V15" s="271" t="n"/>
      <c r="W15" s="271" t="n"/>
      <c r="X15" s="271" t="n"/>
      <c r="Y15" s="271" t="n"/>
      <c r="Z15" s="271" t="n"/>
      <c r="AA15" s="272" t="n"/>
      <c r="AB15" s="294">
        <f>IF(COUNTA(AF22:AF36)=0,"",IF(COUNTIF(AF22:AF36,"FAIL")+COUNTIF(AF22:AF36,"HOLD")&gt;0,"HOLD",IF(COUNTIF(AF22:AF36,"PASS")=COUNTA(AF22:AF36),"APPROVED","REVIEW")))</f>
        <v/>
      </c>
      <c r="AC15" s="271" t="n"/>
      <c r="AD15" s="271" t="n"/>
      <c r="AE15" s="271" t="n"/>
      <c r="AF15" s="271" t="n"/>
      <c r="AG15" s="271" t="n"/>
      <c r="AH15" s="271" t="n"/>
      <c r="AI15" s="271" t="n"/>
      <c r="AJ15" s="271" t="n"/>
      <c r="AK15" s="271" t="n"/>
      <c r="AL15" s="271" t="n"/>
      <c r="AM15" s="271" t="n"/>
      <c r="AN15" s="274" t="n"/>
    </row>
    <row r="16" ht="20" customHeight="1">
      <c r="A16" s="295" t="inlineStr">
        <is>
          <t>Open Conditions before Release</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298" t="inlineStr">
        <is>
          <t>Escalation if Overdue</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300" t="inlineStr">
        <is>
          <t>Gate Status</t>
        </is>
      </c>
      <c r="V18" s="283" t="n"/>
      <c r="W18" s="283" t="n"/>
      <c r="X18" s="283" t="n"/>
      <c r="Y18" s="283" t="n"/>
      <c r="Z18" s="283" t="n"/>
      <c r="AA18" s="285" t="n"/>
      <c r="AB18" s="286">
        <f>IF(COUNTA(AF22:AF36)=0,"",IF(COUNTIF(AF22:AF36,"FAIL")+COUNTIF(AF22:AF36,"HOLD")&gt;0,"OPEN","CLOSED"))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CONTRACT ALIGNMENT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Requirement / Check Item</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3" t="n"/>
      <c r="C22" s="305" t="inlineStr">
        <is>
          <t>COM</t>
        </is>
      </c>
      <c r="D22" s="277" t="n"/>
      <c r="E22" s="278" t="n"/>
      <c r="F22" s="306" t="inlineStr">
        <is>
          <t>PO / contract scope matches quotation.</t>
        </is>
      </c>
      <c r="G22" s="277" t="n"/>
      <c r="H22" s="277" t="n"/>
      <c r="I22" s="277" t="n"/>
      <c r="J22" s="277" t="n"/>
      <c r="K22" s="277" t="n"/>
      <c r="L22" s="277" t="n"/>
      <c r="M22" s="277" t="n"/>
      <c r="N22" s="277" t="n"/>
      <c r="O22" s="277" t="n"/>
      <c r="P22" s="277" t="n"/>
      <c r="Q22" s="277" t="n"/>
      <c r="R22" s="277" t="n"/>
      <c r="S22" s="278" t="n"/>
      <c r="T22" s="307" t="inlineStr">
        <is>
          <t>Customer PO, quote and assumption set align.</t>
        </is>
      </c>
      <c r="U22" s="277" t="n"/>
      <c r="V22" s="277" t="n"/>
      <c r="W22" s="277" t="n"/>
      <c r="X22" s="277" t="n"/>
      <c r="Y22" s="277" t="n"/>
      <c r="Z22" s="277" t="n"/>
      <c r="AA22" s="277" t="n"/>
      <c r="AB22" s="277" t="n"/>
      <c r="AC22" s="277" t="n"/>
      <c r="AD22" s="277" t="n"/>
      <c r="AE22" s="278" t="n"/>
      <c r="AF22" s="308" t="n"/>
      <c r="AG22" s="334" t="n"/>
      <c r="AH22" s="334" t="n"/>
      <c r="AI22" s="333" t="n"/>
      <c r="AJ22" s="308" t="n"/>
      <c r="AK22" s="334" t="n"/>
      <c r="AL22" s="333" t="n"/>
      <c r="AM22" s="308" t="n"/>
      <c r="AN22" s="333" t="n"/>
    </row>
    <row r="23" ht="20" customHeight="1">
      <c r="A23" s="304" t="n">
        <v>2</v>
      </c>
      <c r="B23" s="333" t="n"/>
      <c r="C23" s="309" t="inlineStr">
        <is>
          <t>TEC</t>
        </is>
      </c>
      <c r="D23" s="277" t="n"/>
      <c r="E23" s="278" t="n"/>
      <c r="F23" s="310" t="inlineStr">
        <is>
          <t>Released drawing / specification set is complete.</t>
        </is>
      </c>
      <c r="G23" s="277" t="n"/>
      <c r="H23" s="277" t="n"/>
      <c r="I23" s="277" t="n"/>
      <c r="J23" s="277" t="n"/>
      <c r="K23" s="277" t="n"/>
      <c r="L23" s="277" t="n"/>
      <c r="M23" s="277" t="n"/>
      <c r="N23" s="277" t="n"/>
      <c r="O23" s="277" t="n"/>
      <c r="P23" s="277" t="n"/>
      <c r="Q23" s="277" t="n"/>
      <c r="R23" s="277" t="n"/>
      <c r="S23" s="278" t="n"/>
      <c r="T23" s="307" t="inlineStr">
        <is>
          <t>Correct revision and readable technical package.</t>
        </is>
      </c>
      <c r="U23" s="277" t="n"/>
      <c r="V23" s="277" t="n"/>
      <c r="W23" s="277" t="n"/>
      <c r="X23" s="277" t="n"/>
      <c r="Y23" s="277" t="n"/>
      <c r="Z23" s="277" t="n"/>
      <c r="AA23" s="277" t="n"/>
      <c r="AB23" s="277" t="n"/>
      <c r="AC23" s="277" t="n"/>
      <c r="AD23" s="277" t="n"/>
      <c r="AE23" s="278" t="n"/>
      <c r="AF23" s="308" t="n"/>
      <c r="AG23" s="334" t="n"/>
      <c r="AH23" s="334" t="n"/>
      <c r="AI23" s="333" t="n"/>
      <c r="AJ23" s="308" t="n"/>
      <c r="AK23" s="334" t="n"/>
      <c r="AL23" s="333" t="n"/>
      <c r="AM23" s="308" t="n"/>
      <c r="AN23" s="333" t="n"/>
    </row>
    <row r="24" ht="20" customHeight="1">
      <c r="A24" s="304" t="n">
        <v>3</v>
      </c>
      <c r="B24" s="333" t="n"/>
      <c r="C24" s="311" t="inlineStr">
        <is>
          <t>QUA</t>
        </is>
      </c>
      <c r="D24" s="277" t="n"/>
      <c r="E24" s="278" t="n"/>
      <c r="F24" s="306" t="inlineStr">
        <is>
          <t>Customer special requirements are identified.</t>
        </is>
      </c>
      <c r="G24" s="277" t="n"/>
      <c r="H24" s="277" t="n"/>
      <c r="I24" s="277" t="n"/>
      <c r="J24" s="277" t="n"/>
      <c r="K24" s="277" t="n"/>
      <c r="L24" s="277" t="n"/>
      <c r="M24" s="277" t="n"/>
      <c r="N24" s="277" t="n"/>
      <c r="O24" s="277" t="n"/>
      <c r="P24" s="277" t="n"/>
      <c r="Q24" s="277" t="n"/>
      <c r="R24" s="277" t="n"/>
      <c r="S24" s="278" t="n"/>
      <c r="T24" s="307" t="inlineStr">
        <is>
          <t>CSR / QPL / cert obligations visible.</t>
        </is>
      </c>
      <c r="U24" s="277" t="n"/>
      <c r="V24" s="277" t="n"/>
      <c r="W24" s="277" t="n"/>
      <c r="X24" s="277" t="n"/>
      <c r="Y24" s="277" t="n"/>
      <c r="Z24" s="277" t="n"/>
      <c r="AA24" s="277" t="n"/>
      <c r="AB24" s="277" t="n"/>
      <c r="AC24" s="277" t="n"/>
      <c r="AD24" s="277" t="n"/>
      <c r="AE24" s="278" t="n"/>
      <c r="AF24" s="308" t="n"/>
      <c r="AG24" s="334" t="n"/>
      <c r="AH24" s="334" t="n"/>
      <c r="AI24" s="333" t="n"/>
      <c r="AJ24" s="308" t="n"/>
      <c r="AK24" s="334" t="n"/>
      <c r="AL24" s="333" t="n"/>
      <c r="AM24" s="308" t="n"/>
      <c r="AN24" s="333" t="n"/>
    </row>
    <row r="25" ht="20" customHeight="1">
      <c r="A25" s="304" t="n">
        <v>4</v>
      </c>
      <c r="B25" s="333" t="n"/>
      <c r="C25" s="311" t="inlineStr">
        <is>
          <t>QUA</t>
        </is>
      </c>
      <c r="D25" s="277" t="n"/>
      <c r="E25" s="278" t="n"/>
      <c r="F25" s="310" t="inlineStr">
        <is>
          <t>Packaging / cleanliness / CoC rules are defined.</t>
        </is>
      </c>
      <c r="G25" s="277" t="n"/>
      <c r="H25" s="277" t="n"/>
      <c r="I25" s="277" t="n"/>
      <c r="J25" s="277" t="n"/>
      <c r="K25" s="277" t="n"/>
      <c r="L25" s="277" t="n"/>
      <c r="M25" s="277" t="n"/>
      <c r="N25" s="277" t="n"/>
      <c r="O25" s="277" t="n"/>
      <c r="P25" s="277" t="n"/>
      <c r="Q25" s="277" t="n"/>
      <c r="R25" s="277" t="n"/>
      <c r="S25" s="278" t="n"/>
      <c r="T25" s="307" t="inlineStr">
        <is>
          <t>Shipment and evidence requirements are explicit.</t>
        </is>
      </c>
      <c r="U25" s="277" t="n"/>
      <c r="V25" s="277" t="n"/>
      <c r="W25" s="277" t="n"/>
      <c r="X25" s="277" t="n"/>
      <c r="Y25" s="277" t="n"/>
      <c r="Z25" s="277" t="n"/>
      <c r="AA25" s="277" t="n"/>
      <c r="AB25" s="277" t="n"/>
      <c r="AC25" s="277" t="n"/>
      <c r="AD25" s="277" t="n"/>
      <c r="AE25" s="278" t="n"/>
      <c r="AF25" s="308" t="n"/>
      <c r="AG25" s="334" t="n"/>
      <c r="AH25" s="334" t="n"/>
      <c r="AI25" s="333" t="n"/>
      <c r="AJ25" s="308" t="n"/>
      <c r="AK25" s="334" t="n"/>
      <c r="AL25" s="333" t="n"/>
      <c r="AM25" s="308" t="n"/>
      <c r="AN25" s="333" t="n"/>
    </row>
    <row r="26" ht="20" customHeight="1">
      <c r="A26" s="304" t="n">
        <v>5</v>
      </c>
      <c r="B26" s="333" t="n"/>
      <c r="C26" s="312" t="inlineStr">
        <is>
          <t>CAP</t>
        </is>
      </c>
      <c r="D26" s="277" t="n"/>
      <c r="E26" s="278" t="n"/>
      <c r="F26" s="306" t="inlineStr">
        <is>
          <t>Material / outsource path is feasible.</t>
        </is>
      </c>
      <c r="G26" s="277" t="n"/>
      <c r="H26" s="277" t="n"/>
      <c r="I26" s="277" t="n"/>
      <c r="J26" s="277" t="n"/>
      <c r="K26" s="277" t="n"/>
      <c r="L26" s="277" t="n"/>
      <c r="M26" s="277" t="n"/>
      <c r="N26" s="277" t="n"/>
      <c r="O26" s="277" t="n"/>
      <c r="P26" s="277" t="n"/>
      <c r="Q26" s="277" t="n"/>
      <c r="R26" s="277" t="n"/>
      <c r="S26" s="278" t="n"/>
      <c r="T26" s="307" t="inlineStr">
        <is>
          <t>Required source path is known and available.</t>
        </is>
      </c>
      <c r="U26" s="277" t="n"/>
      <c r="V26" s="277" t="n"/>
      <c r="W26" s="277" t="n"/>
      <c r="X26" s="277" t="n"/>
      <c r="Y26" s="277" t="n"/>
      <c r="Z26" s="277" t="n"/>
      <c r="AA26" s="277" t="n"/>
      <c r="AB26" s="277" t="n"/>
      <c r="AC26" s="277" t="n"/>
      <c r="AD26" s="277" t="n"/>
      <c r="AE26" s="278" t="n"/>
      <c r="AF26" s="308" t="n"/>
      <c r="AG26" s="334" t="n"/>
      <c r="AH26" s="334" t="n"/>
      <c r="AI26" s="333" t="n"/>
      <c r="AJ26" s="308" t="n"/>
      <c r="AK26" s="334" t="n"/>
      <c r="AL26" s="333" t="n"/>
      <c r="AM26" s="308" t="n"/>
      <c r="AN26" s="333" t="n"/>
    </row>
    <row r="27" ht="20" customHeight="1">
      <c r="A27" s="304" t="n">
        <v>6</v>
      </c>
      <c r="B27" s="333" t="n"/>
      <c r="C27" s="312" t="inlineStr">
        <is>
          <t>CAP</t>
        </is>
      </c>
      <c r="D27" s="277" t="n"/>
      <c r="E27" s="278" t="n"/>
      <c r="F27" s="310" t="inlineStr">
        <is>
          <t>Machine / tooling / gage plan is identified.</t>
        </is>
      </c>
      <c r="G27" s="277" t="n"/>
      <c r="H27" s="277" t="n"/>
      <c r="I27" s="277" t="n"/>
      <c r="J27" s="277" t="n"/>
      <c r="K27" s="277" t="n"/>
      <c r="L27" s="277" t="n"/>
      <c r="M27" s="277" t="n"/>
      <c r="N27" s="277" t="n"/>
      <c r="O27" s="277" t="n"/>
      <c r="P27" s="277" t="n"/>
      <c r="Q27" s="277" t="n"/>
      <c r="R27" s="277" t="n"/>
      <c r="S27" s="278" t="n"/>
      <c r="T27" s="307" t="inlineStr">
        <is>
          <t>Capability exists before execution release.</t>
        </is>
      </c>
      <c r="U27" s="277" t="n"/>
      <c r="V27" s="277" t="n"/>
      <c r="W27" s="277" t="n"/>
      <c r="X27" s="277" t="n"/>
      <c r="Y27" s="277" t="n"/>
      <c r="Z27" s="277" t="n"/>
      <c r="AA27" s="277" t="n"/>
      <c r="AB27" s="277" t="n"/>
      <c r="AC27" s="277" t="n"/>
      <c r="AD27" s="277" t="n"/>
      <c r="AE27" s="278" t="n"/>
      <c r="AF27" s="308" t="n"/>
      <c r="AG27" s="334" t="n"/>
      <c r="AH27" s="334" t="n"/>
      <c r="AI27" s="333" t="n"/>
      <c r="AJ27" s="308" t="n"/>
      <c r="AK27" s="334" t="n"/>
      <c r="AL27" s="333" t="n"/>
      <c r="AM27" s="308" t="n"/>
      <c r="AN27" s="333" t="n"/>
    </row>
    <row r="28" ht="20" customHeight="1">
      <c r="A28" s="304" t="n">
        <v>7</v>
      </c>
      <c r="B28" s="333" t="n"/>
      <c r="C28" s="313" t="inlineStr">
        <is>
          <t>CON</t>
        </is>
      </c>
      <c r="D28" s="277" t="n"/>
      <c r="E28" s="278" t="n"/>
      <c r="F28" s="306" t="inlineStr">
        <is>
          <t>Delivery commitment is realistic.</t>
        </is>
      </c>
      <c r="G28" s="277" t="n"/>
      <c r="H28" s="277" t="n"/>
      <c r="I28" s="277" t="n"/>
      <c r="J28" s="277" t="n"/>
      <c r="K28" s="277" t="n"/>
      <c r="L28" s="277" t="n"/>
      <c r="M28" s="277" t="n"/>
      <c r="N28" s="277" t="n"/>
      <c r="O28" s="277" t="n"/>
      <c r="P28" s="277" t="n"/>
      <c r="Q28" s="277" t="n"/>
      <c r="R28" s="277" t="n"/>
      <c r="S28" s="278" t="n"/>
      <c r="T28" s="307" t="inlineStr">
        <is>
          <t>Promise date and partial-ship logic are feasible.</t>
        </is>
      </c>
      <c r="U28" s="277" t="n"/>
      <c r="V28" s="277" t="n"/>
      <c r="W28" s="277" t="n"/>
      <c r="X28" s="277" t="n"/>
      <c r="Y28" s="277" t="n"/>
      <c r="Z28" s="277" t="n"/>
      <c r="AA28" s="277" t="n"/>
      <c r="AB28" s="277" t="n"/>
      <c r="AC28" s="277" t="n"/>
      <c r="AD28" s="277" t="n"/>
      <c r="AE28" s="278" t="n"/>
      <c r="AF28" s="308" t="n"/>
      <c r="AG28" s="334" t="n"/>
      <c r="AH28" s="334" t="n"/>
      <c r="AI28" s="333" t="n"/>
      <c r="AJ28" s="308" t="n"/>
      <c r="AK28" s="334" t="n"/>
      <c r="AL28" s="333" t="n"/>
      <c r="AM28" s="308" t="n"/>
      <c r="AN28" s="333" t="n"/>
    </row>
    <row r="29" ht="20" customHeight="1">
      <c r="A29" s="304" t="n">
        <v>8</v>
      </c>
      <c r="B29" s="333" t="n"/>
      <c r="C29" s="313" t="inlineStr">
        <is>
          <t>CON</t>
        </is>
      </c>
      <c r="D29" s="277" t="n"/>
      <c r="E29" s="278" t="n"/>
      <c r="F29" s="310" t="inlineStr">
        <is>
          <t>Commercial assumptions / waivers are explicit.</t>
        </is>
      </c>
      <c r="G29" s="277" t="n"/>
      <c r="H29" s="277" t="n"/>
      <c r="I29" s="277" t="n"/>
      <c r="J29" s="277" t="n"/>
      <c r="K29" s="277" t="n"/>
      <c r="L29" s="277" t="n"/>
      <c r="M29" s="277" t="n"/>
      <c r="N29" s="277" t="n"/>
      <c r="O29" s="277" t="n"/>
      <c r="P29" s="277" t="n"/>
      <c r="Q29" s="277" t="n"/>
      <c r="R29" s="277" t="n"/>
      <c r="S29" s="278" t="n"/>
      <c r="T29" s="307" t="inlineStr">
        <is>
          <t>No hidden condition remains unowned.</t>
        </is>
      </c>
      <c r="U29" s="277" t="n"/>
      <c r="V29" s="277" t="n"/>
      <c r="W29" s="277" t="n"/>
      <c r="X29" s="277" t="n"/>
      <c r="Y29" s="277" t="n"/>
      <c r="Z29" s="277" t="n"/>
      <c r="AA29" s="277" t="n"/>
      <c r="AB29" s="277" t="n"/>
      <c r="AC29" s="277" t="n"/>
      <c r="AD29" s="277" t="n"/>
      <c r="AE29" s="278" t="n"/>
      <c r="AF29" s="308" t="n"/>
      <c r="AG29" s="334" t="n"/>
      <c r="AH29" s="334" t="n"/>
      <c r="AI29" s="333" t="n"/>
      <c r="AJ29" s="308" t="n"/>
      <c r="AK29" s="334" t="n"/>
      <c r="AL29" s="333" t="n"/>
      <c r="AM29" s="308" t="n"/>
      <c r="AN29" s="333" t="n"/>
    </row>
    <row r="30" ht="20" customHeight="1">
      <c r="A30" s="304" t="n">
        <v>9</v>
      </c>
      <c r="B30" s="333" t="n"/>
      <c r="C30" s="314" t="inlineStr">
        <is>
          <t>DOC</t>
        </is>
      </c>
      <c r="D30" s="277" t="n"/>
      <c r="E30" s="278" t="n"/>
      <c r="F30" s="306" t="inlineStr">
        <is>
          <t>Evidence folder / dossier path exists.</t>
        </is>
      </c>
      <c r="G30" s="277" t="n"/>
      <c r="H30" s="277" t="n"/>
      <c r="I30" s="277" t="n"/>
      <c r="J30" s="277" t="n"/>
      <c r="K30" s="277" t="n"/>
      <c r="L30" s="277" t="n"/>
      <c r="M30" s="277" t="n"/>
      <c r="N30" s="277" t="n"/>
      <c r="O30" s="277" t="n"/>
      <c r="P30" s="277" t="n"/>
      <c r="Q30" s="277" t="n"/>
      <c r="R30" s="277" t="n"/>
      <c r="S30" s="278" t="n"/>
      <c r="T30" s="307" t="inlineStr">
        <is>
          <t>Unique M365 or controlled path is created.</t>
        </is>
      </c>
      <c r="U30" s="277" t="n"/>
      <c r="V30" s="277" t="n"/>
      <c r="W30" s="277" t="n"/>
      <c r="X30" s="277" t="n"/>
      <c r="Y30" s="277" t="n"/>
      <c r="Z30" s="277" t="n"/>
      <c r="AA30" s="277" t="n"/>
      <c r="AB30" s="277" t="n"/>
      <c r="AC30" s="277" t="n"/>
      <c r="AD30" s="277" t="n"/>
      <c r="AE30" s="278" t="n"/>
      <c r="AF30" s="308" t="n"/>
      <c r="AG30" s="334" t="n"/>
      <c r="AH30" s="334" t="n"/>
      <c r="AI30" s="333" t="n"/>
      <c r="AJ30" s="308" t="n"/>
      <c r="AK30" s="334" t="n"/>
      <c r="AL30" s="333" t="n"/>
      <c r="AM30" s="308" t="n"/>
      <c r="AN30" s="333" t="n"/>
    </row>
    <row r="31" ht="20" customHeight="1">
      <c r="A31" s="304" t="n">
        <v>10</v>
      </c>
      <c r="B31" s="333" t="n"/>
      <c r="C31" s="315" t="inlineStr">
        <is>
          <t>REL</t>
        </is>
      </c>
      <c r="D31" s="283" t="n"/>
      <c r="E31" s="285" t="n"/>
      <c r="F31" s="316" t="inlineStr">
        <is>
          <t>Release authority is known.</t>
        </is>
      </c>
      <c r="G31" s="283" t="n"/>
      <c r="H31" s="283" t="n"/>
      <c r="I31" s="283" t="n"/>
      <c r="J31" s="283" t="n"/>
      <c r="K31" s="283" t="n"/>
      <c r="L31" s="283" t="n"/>
      <c r="M31" s="283" t="n"/>
      <c r="N31" s="283" t="n"/>
      <c r="O31" s="283" t="n"/>
      <c r="P31" s="283" t="n"/>
      <c r="Q31" s="283" t="n"/>
      <c r="R31" s="283" t="n"/>
      <c r="S31" s="285" t="n"/>
      <c r="T31" s="317" t="inlineStr">
        <is>
          <t>Decision owner matches gate significance.</t>
        </is>
      </c>
      <c r="U31" s="283" t="n"/>
      <c r="V31" s="283" t="n"/>
      <c r="W31" s="283" t="n"/>
      <c r="X31" s="283" t="n"/>
      <c r="Y31" s="283" t="n"/>
      <c r="Z31" s="283" t="n"/>
      <c r="AA31" s="283" t="n"/>
      <c r="AB31" s="283" t="n"/>
      <c r="AC31" s="283" t="n"/>
      <c r="AD31" s="283" t="n"/>
      <c r="AE31" s="285" t="n"/>
      <c r="AF31" s="308" t="n"/>
      <c r="AG31" s="334" t="n"/>
      <c r="AH31" s="334" t="n"/>
      <c r="AI31" s="333" t="n"/>
      <c r="AJ31" s="308" t="n"/>
      <c r="AK31" s="334" t="n"/>
      <c r="AL31" s="333" t="n"/>
      <c r="AM31" s="308" t="n"/>
      <c r="AN31" s="333" t="n"/>
    </row>
    <row r="32" ht="20" customHeight="1">
      <c r="A32" s="398" t="n">
        <v>11</v>
      </c>
      <c r="C32" s="399" t="inlineStr">
        <is>
          <t>TEC</t>
        </is>
      </c>
      <c r="F32" s="400" t="inlineStr">
        <is>
          <t>CNC program revision matches released drawing revision.</t>
        </is>
      </c>
      <c r="T32" s="401" t="inlineStr">
        <is>
          <t>Program rev, drawing rev, setup sheet rev all align.</t>
        </is>
      </c>
      <c r="AF32" s="402" t="n"/>
      <c r="AJ32" s="402" t="n"/>
      <c r="AM32" s="403" t="n"/>
    </row>
    <row r="33" ht="20" customHeight="1">
      <c r="A33" s="398" t="n">
        <v>12</v>
      </c>
      <c r="C33" s="399" t="inlineStr">
        <is>
          <t>TEC</t>
        </is>
      </c>
      <c r="F33" s="404" t="inlineStr">
        <is>
          <t>Tight-tolerance features identified (&lt; 0.025 mm).</t>
        </is>
      </c>
      <c r="T33" s="401" t="inlineStr">
        <is>
          <t>Feature count flagged; measurement method confirmed.</t>
        </is>
      </c>
      <c r="AF33" s="402" t="n"/>
      <c r="AJ33" s="402" t="n"/>
      <c r="AM33" s="403" t="n"/>
    </row>
    <row r="34" ht="20" customHeight="1">
      <c r="A34" s="398" t="n">
        <v>13</v>
      </c>
      <c r="C34" s="405" t="inlineStr">
        <is>
          <t>QUA</t>
        </is>
      </c>
      <c r="F34" s="400" t="inlineStr">
        <is>
          <t>Semiconductor cleanliness class confirmed.</t>
        </is>
      </c>
      <c r="T34" s="401" t="inlineStr">
        <is>
          <t>Clean-room / clean-pack / vacuum-bag level specified or NA.</t>
        </is>
      </c>
      <c r="AF34" s="402" t="n"/>
      <c r="AJ34" s="402" t="n"/>
      <c r="AM34" s="403" t="n"/>
    </row>
    <row r="35" ht="20" customHeight="1">
      <c r="A35" s="398" t="n">
        <v>14</v>
      </c>
      <c r="C35" s="405" t="inlineStr">
        <is>
          <t>QUA</t>
        </is>
      </c>
      <c r="F35" s="404" t="inlineStr">
        <is>
          <t>Material cert / CoC / test-report requirement specified.</t>
        </is>
      </c>
      <c r="T35" s="401" t="inlineStr">
        <is>
          <t>Cert type, mill cert, RoHS, REACH, or conflict minerals.</t>
        </is>
      </c>
      <c r="AF35" s="402" t="n"/>
      <c r="AJ35" s="402" t="n"/>
      <c r="AM35" s="403" t="n"/>
    </row>
    <row r="36" ht="20" customHeight="1">
      <c r="A36" s="398" t="n">
        <v>15</v>
      </c>
      <c r="C36" s="406" t="inlineStr">
        <is>
          <t>CAP</t>
        </is>
      </c>
      <c r="F36" s="400" t="inlineStr">
        <is>
          <t>Outsource processes (HT/plate/anod) confirmed with lead time.</t>
        </is>
      </c>
      <c r="T36" s="401" t="inlineStr">
        <is>
          <t>Supplier approved, lead time fits delivery promise.</t>
        </is>
      </c>
      <c r="AF36" s="402" t="n"/>
      <c r="AJ36" s="402" t="n"/>
      <c r="AM36" s="403" t="n"/>
    </row>
    <row r="37" ht="20" customHeight="1">
      <c r="A37" s="407" t="inlineStr">
        <is>
          <t>Linked FRM-203 Job #</t>
        </is>
      </c>
      <c r="H37" s="408" t="n"/>
      <c r="U37" s="409" t="inlineStr">
        <is>
          <t>Linked FRM-204 Kickoff #</t>
        </is>
      </c>
      <c r="AB37" s="410" t="n"/>
    </row>
    <row r="38" ht="20" customHeight="1">
      <c r="A38" s="407" t="inlineStr">
        <is>
          <t>Ref: SOP-201 / WI-201~203</t>
        </is>
      </c>
      <c r="H38" s="411" t="inlineStr">
        <is>
          <t>SOP-201 (RFQ, Contract Review, Order Kickoff)</t>
        </is>
      </c>
      <c r="U38" s="409" t="inlineStr">
        <is>
          <t>Retain: 10 years</t>
        </is>
      </c>
      <c r="AB38" s="412" t="inlineStr">
        <is>
          <t>Per QMS retention schedule</t>
        </is>
      </c>
    </row>
    <row r="39" ht="20" customHeight="1">
      <c r="A39" s="25" t="n"/>
    </row>
    <row r="40" ht="4" customHeight="1">
      <c r="A40" s="288" t="inlineStr">
        <is>
          <t>4.  OPEN CONDITIONS / ACTION TRACKER</t>
        </is>
      </c>
      <c r="B40" s="289" t="n"/>
      <c r="C40" s="289" t="n"/>
      <c r="D40" s="289" t="n"/>
      <c r="E40" s="289" t="n"/>
      <c r="F40" s="289" t="n"/>
      <c r="G40" s="289" t="n"/>
      <c r="H40" s="289" t="n"/>
      <c r="I40" s="289" t="n"/>
      <c r="J40" s="289" t="n"/>
      <c r="K40" s="289" t="n"/>
      <c r="L40" s="289" t="n"/>
      <c r="M40" s="289" t="n"/>
      <c r="N40" s="289" t="n"/>
      <c r="O40" s="289" t="n"/>
      <c r="P40" s="289" t="n"/>
      <c r="Q40" s="289" t="n"/>
      <c r="R40" s="289" t="n"/>
      <c r="S40" s="289" t="n"/>
      <c r="T40" s="289" t="n"/>
      <c r="U40" s="289" t="n"/>
      <c r="V40" s="289" t="n"/>
      <c r="W40" s="289" t="n"/>
      <c r="X40" s="289" t="n"/>
      <c r="Y40" s="289" t="n"/>
      <c r="Z40" s="289" t="n"/>
      <c r="AA40" s="289" t="n"/>
      <c r="AB40" s="289" t="n"/>
      <c r="AC40" s="289" t="n"/>
      <c r="AD40" s="289" t="n"/>
      <c r="AE40" s="289" t="n"/>
      <c r="AF40" s="289" t="n"/>
      <c r="AG40" s="289" t="n"/>
      <c r="AH40" s="289" t="n"/>
      <c r="AI40" s="289" t="n"/>
      <c r="AJ40" s="289" t="n"/>
      <c r="AK40" s="289" t="n"/>
      <c r="AL40" s="289" t="n"/>
      <c r="AM40" s="289" t="n"/>
      <c r="AN40" s="290" t="n"/>
    </row>
    <row r="41" ht="17" customHeight="1">
      <c r="A41" s="301" t="inlineStr">
        <is>
          <t>#</t>
        </is>
      </c>
      <c r="B41" s="272" t="n"/>
      <c r="C41" s="302" t="inlineStr">
        <is>
          <t>Issue / Open Condition</t>
        </is>
      </c>
      <c r="D41" s="271" t="n"/>
      <c r="E41" s="271" t="n"/>
      <c r="F41" s="271" t="n"/>
      <c r="G41" s="271" t="n"/>
      <c r="H41" s="271" t="n"/>
      <c r="I41" s="271" t="n"/>
      <c r="J41" s="271" t="n"/>
      <c r="K41" s="271" t="n"/>
      <c r="L41" s="272" t="n"/>
      <c r="M41" s="302" t="inlineStr">
        <is>
          <t>Required Action</t>
        </is>
      </c>
      <c r="N41" s="271" t="n"/>
      <c r="O41" s="271" t="n"/>
      <c r="P41" s="271" t="n"/>
      <c r="Q41" s="271" t="n"/>
      <c r="R41" s="271" t="n"/>
      <c r="S41" s="271" t="n"/>
      <c r="T41" s="271" t="n"/>
      <c r="U41" s="271" t="n"/>
      <c r="V41" s="271" t="n"/>
      <c r="W41" s="271" t="n"/>
      <c r="X41" s="272" t="n"/>
      <c r="Y41" s="302" t="inlineStr">
        <is>
          <t>Owner</t>
        </is>
      </c>
      <c r="Z41" s="271" t="n"/>
      <c r="AA41" s="271" t="n"/>
      <c r="AB41" s="271" t="n"/>
      <c r="AC41" s="272" t="n"/>
      <c r="AD41" s="302" t="inlineStr">
        <is>
          <t>Due Date</t>
        </is>
      </c>
      <c r="AE41" s="271" t="n"/>
      <c r="AF41" s="271" t="n"/>
      <c r="AG41" s="271" t="n"/>
      <c r="AH41" s="272" t="n"/>
      <c r="AI41" s="302" t="inlineStr">
        <is>
          <t>Status</t>
        </is>
      </c>
      <c r="AJ41" s="271" t="n"/>
      <c r="AK41" s="272" t="n"/>
      <c r="AL41" s="303" t="inlineStr">
        <is>
          <t>Verified by</t>
        </is>
      </c>
      <c r="AM41" s="271" t="n"/>
      <c r="AN41" s="274" t="n"/>
    </row>
    <row r="42" ht="17" customHeight="1">
      <c r="A42" s="318" t="n">
        <v>1</v>
      </c>
      <c r="B42" s="278" t="n"/>
      <c r="C42" s="308" t="n"/>
      <c r="D42" s="334" t="n"/>
      <c r="E42" s="334" t="n"/>
      <c r="F42" s="334" t="n"/>
      <c r="G42" s="334" t="n"/>
      <c r="H42" s="334" t="n"/>
      <c r="I42" s="334" t="n"/>
      <c r="J42" s="334" t="n"/>
      <c r="K42" s="334" t="n"/>
      <c r="L42" s="333" t="n"/>
      <c r="M42" s="308" t="n"/>
      <c r="N42" s="334" t="n"/>
      <c r="O42" s="334" t="n"/>
      <c r="P42" s="334" t="n"/>
      <c r="Q42" s="334" t="n"/>
      <c r="R42" s="334" t="n"/>
      <c r="S42" s="334" t="n"/>
      <c r="T42" s="334" t="n"/>
      <c r="U42" s="334" t="n"/>
      <c r="V42" s="334" t="n"/>
      <c r="W42" s="334" t="n"/>
      <c r="X42" s="333" t="n"/>
      <c r="Y42" s="308" t="n"/>
      <c r="Z42" s="334" t="n"/>
      <c r="AA42" s="334" t="n"/>
      <c r="AB42" s="334" t="n"/>
      <c r="AC42" s="333" t="n"/>
      <c r="AD42" s="308" t="n"/>
      <c r="AE42" s="334" t="n"/>
      <c r="AF42" s="334" t="n"/>
      <c r="AG42" s="334" t="n"/>
      <c r="AH42" s="333" t="n"/>
      <c r="AI42" s="308" t="n"/>
      <c r="AJ42" s="334" t="n"/>
      <c r="AK42" s="333" t="n"/>
      <c r="AL42" s="308" t="n"/>
      <c r="AM42" s="334" t="n"/>
      <c r="AN42" s="333" t="n"/>
    </row>
    <row r="43" ht="26" customHeight="1">
      <c r="A43" s="318" t="n">
        <v>2</v>
      </c>
      <c r="B43" s="278" t="n"/>
      <c r="C43" s="308" t="n"/>
      <c r="D43" s="334" t="n"/>
      <c r="E43" s="334" t="n"/>
      <c r="F43" s="334" t="n"/>
      <c r="G43" s="334" t="n"/>
      <c r="H43" s="334" t="n"/>
      <c r="I43" s="334" t="n"/>
      <c r="J43" s="334" t="n"/>
      <c r="K43" s="334" t="n"/>
      <c r="L43" s="333" t="n"/>
      <c r="M43" s="308" t="n"/>
      <c r="N43" s="334" t="n"/>
      <c r="O43" s="334" t="n"/>
      <c r="P43" s="334" t="n"/>
      <c r="Q43" s="334" t="n"/>
      <c r="R43" s="334" t="n"/>
      <c r="S43" s="334" t="n"/>
      <c r="T43" s="334" t="n"/>
      <c r="U43" s="334" t="n"/>
      <c r="V43" s="334" t="n"/>
      <c r="W43" s="334" t="n"/>
      <c r="X43" s="333" t="n"/>
      <c r="Y43" s="308" t="n"/>
      <c r="Z43" s="334" t="n"/>
      <c r="AA43" s="334" t="n"/>
      <c r="AB43" s="334" t="n"/>
      <c r="AC43" s="333" t="n"/>
      <c r="AD43" s="308" t="n"/>
      <c r="AE43" s="334" t="n"/>
      <c r="AF43" s="334" t="n"/>
      <c r="AG43" s="334" t="n"/>
      <c r="AH43" s="333" t="n"/>
      <c r="AI43" s="308" t="n"/>
      <c r="AJ43" s="334" t="n"/>
      <c r="AK43" s="333" t="n"/>
      <c r="AL43" s="308" t="n"/>
      <c r="AM43" s="334" t="n"/>
      <c r="AN43" s="333" t="n"/>
    </row>
    <row r="44" ht="26" customHeight="1">
      <c r="A44" s="318" t="n">
        <v>3</v>
      </c>
      <c r="B44" s="278" t="n"/>
      <c r="C44" s="308" t="n"/>
      <c r="D44" s="334" t="n"/>
      <c r="E44" s="334" t="n"/>
      <c r="F44" s="334" t="n"/>
      <c r="G44" s="334" t="n"/>
      <c r="H44" s="334" t="n"/>
      <c r="I44" s="334" t="n"/>
      <c r="J44" s="334" t="n"/>
      <c r="K44" s="334" t="n"/>
      <c r="L44" s="333" t="n"/>
      <c r="M44" s="308" t="n"/>
      <c r="N44" s="334" t="n"/>
      <c r="O44" s="334" t="n"/>
      <c r="P44" s="334" t="n"/>
      <c r="Q44" s="334" t="n"/>
      <c r="R44" s="334" t="n"/>
      <c r="S44" s="334" t="n"/>
      <c r="T44" s="334" t="n"/>
      <c r="U44" s="334" t="n"/>
      <c r="V44" s="334" t="n"/>
      <c r="W44" s="334" t="n"/>
      <c r="X44" s="333" t="n"/>
      <c r="Y44" s="308" t="n"/>
      <c r="Z44" s="334" t="n"/>
      <c r="AA44" s="334" t="n"/>
      <c r="AB44" s="334" t="n"/>
      <c r="AC44" s="333" t="n"/>
      <c r="AD44" s="308" t="n"/>
      <c r="AE44" s="334" t="n"/>
      <c r="AF44" s="334" t="n"/>
      <c r="AG44" s="334" t="n"/>
      <c r="AH44" s="333" t="n"/>
      <c r="AI44" s="308" t="n"/>
      <c r="AJ44" s="334" t="n"/>
      <c r="AK44" s="333" t="n"/>
      <c r="AL44" s="308" t="n"/>
      <c r="AM44" s="334" t="n"/>
      <c r="AN44" s="333" t="n"/>
    </row>
    <row r="45" ht="26" customHeight="1">
      <c r="A45" s="318" t="n">
        <v>4</v>
      </c>
      <c r="B45" s="278" t="n"/>
      <c r="C45" s="308" t="n"/>
      <c r="D45" s="334" t="n"/>
      <c r="E45" s="334" t="n"/>
      <c r="F45" s="334" t="n"/>
      <c r="G45" s="334" t="n"/>
      <c r="H45" s="334" t="n"/>
      <c r="I45" s="334" t="n"/>
      <c r="J45" s="334" t="n"/>
      <c r="K45" s="334" t="n"/>
      <c r="L45" s="333" t="n"/>
      <c r="M45" s="308" t="n"/>
      <c r="N45" s="334" t="n"/>
      <c r="O45" s="334" t="n"/>
      <c r="P45" s="334" t="n"/>
      <c r="Q45" s="334" t="n"/>
      <c r="R45" s="334" t="n"/>
      <c r="S45" s="334" t="n"/>
      <c r="T45" s="334" t="n"/>
      <c r="U45" s="334" t="n"/>
      <c r="V45" s="334" t="n"/>
      <c r="W45" s="334" t="n"/>
      <c r="X45" s="333" t="n"/>
      <c r="Y45" s="308" t="n"/>
      <c r="Z45" s="334" t="n"/>
      <c r="AA45" s="334" t="n"/>
      <c r="AB45" s="334" t="n"/>
      <c r="AC45" s="333" t="n"/>
      <c r="AD45" s="308" t="n"/>
      <c r="AE45" s="334" t="n"/>
      <c r="AF45" s="334" t="n"/>
      <c r="AG45" s="334" t="n"/>
      <c r="AH45" s="333" t="n"/>
      <c r="AI45" s="308" t="n"/>
      <c r="AJ45" s="334" t="n"/>
      <c r="AK45" s="333" t="n"/>
      <c r="AL45" s="308" t="n"/>
      <c r="AM45" s="334" t="n"/>
      <c r="AN45" s="333" t="n"/>
    </row>
    <row r="46" ht="4" customHeight="1">
      <c r="A46" s="319" t="n">
        <v>5</v>
      </c>
      <c r="B46" s="285" t="n"/>
      <c r="C46" s="308" t="n"/>
      <c r="D46" s="334" t="n"/>
      <c r="E46" s="334" t="n"/>
      <c r="F46" s="334" t="n"/>
      <c r="G46" s="334" t="n"/>
      <c r="H46" s="334" t="n"/>
      <c r="I46" s="334" t="n"/>
      <c r="J46" s="334" t="n"/>
      <c r="K46" s="334" t="n"/>
      <c r="L46" s="333" t="n"/>
      <c r="M46" s="308" t="n"/>
      <c r="N46" s="334" t="n"/>
      <c r="O46" s="334" t="n"/>
      <c r="P46" s="334" t="n"/>
      <c r="Q46" s="334" t="n"/>
      <c r="R46" s="334" t="n"/>
      <c r="S46" s="334" t="n"/>
      <c r="T46" s="334" t="n"/>
      <c r="U46" s="334" t="n"/>
      <c r="V46" s="334" t="n"/>
      <c r="W46" s="334" t="n"/>
      <c r="X46" s="333" t="n"/>
      <c r="Y46" s="308" t="n"/>
      <c r="Z46" s="334" t="n"/>
      <c r="AA46" s="334" t="n"/>
      <c r="AB46" s="334" t="n"/>
      <c r="AC46" s="333" t="n"/>
      <c r="AD46" s="308" t="n"/>
      <c r="AE46" s="334" t="n"/>
      <c r="AF46" s="334" t="n"/>
      <c r="AG46" s="334" t="n"/>
      <c r="AH46" s="333" t="n"/>
      <c r="AI46" s="308" t="n"/>
      <c r="AJ46" s="334" t="n"/>
      <c r="AK46" s="333" t="n"/>
      <c r="AL46" s="308" t="n"/>
      <c r="AM46" s="334" t="n"/>
      <c r="AN46" s="333" t="n"/>
    </row>
    <row r="47" ht="24" customHeight="1">
      <c r="A47" s="25" t="n"/>
    </row>
    <row r="48" hidden="1" outlineLevel="1">
      <c r="A48" s="288" t="inlineStr">
        <is>
          <t>5.  APPROVAL / SIGN-OFF</t>
        </is>
      </c>
      <c r="B48" s="289" t="n"/>
      <c r="C48" s="289" t="n"/>
      <c r="D48" s="289" t="n"/>
      <c r="E48" s="289" t="n"/>
      <c r="F48" s="289" t="n"/>
      <c r="G48" s="289" t="n"/>
      <c r="H48" s="289" t="n"/>
      <c r="I48" s="289" t="n"/>
      <c r="J48" s="289" t="n"/>
      <c r="K48" s="289" t="n"/>
      <c r="L48" s="289" t="n"/>
      <c r="M48" s="289" t="n"/>
      <c r="N48" s="289" t="n"/>
      <c r="O48" s="289" t="n"/>
      <c r="P48" s="289" t="n"/>
      <c r="Q48" s="289" t="n"/>
      <c r="R48" s="289" t="n"/>
      <c r="S48" s="289" t="n"/>
      <c r="T48" s="289" t="n"/>
      <c r="U48" s="289" t="n"/>
      <c r="V48" s="289" t="n"/>
      <c r="W48" s="289" t="n"/>
      <c r="X48" s="289" t="n"/>
      <c r="Y48" s="289" t="n"/>
      <c r="Z48" s="289" t="n"/>
      <c r="AA48" s="289" t="n"/>
      <c r="AB48" s="289" t="n"/>
      <c r="AC48" s="289" t="n"/>
      <c r="AD48" s="289" t="n"/>
      <c r="AE48" s="289" t="n"/>
      <c r="AF48" s="289" t="n"/>
      <c r="AG48" s="289" t="n"/>
      <c r="AH48" s="289" t="n"/>
      <c r="AI48" s="289" t="n"/>
      <c r="AJ48" s="289" t="n"/>
      <c r="AK48" s="289" t="n"/>
      <c r="AL48" s="289" t="n"/>
      <c r="AM48" s="289" t="n"/>
      <c r="AN48" s="290" t="n"/>
    </row>
    <row r="49" hidden="1" outlineLevel="1">
      <c r="A49" s="320" t="inlineStr">
        <is>
          <t>Prepared by</t>
        </is>
      </c>
      <c r="B49" s="289" t="n"/>
      <c r="C49" s="289" t="n"/>
      <c r="D49" s="289" t="n"/>
      <c r="E49" s="289" t="n"/>
      <c r="F49" s="289" t="n"/>
      <c r="G49" s="289" t="n"/>
      <c r="H49" s="289" t="n"/>
      <c r="I49" s="289" t="n"/>
      <c r="J49" s="289" t="n"/>
      <c r="K49" s="289" t="n"/>
      <c r="L49" s="289" t="n"/>
      <c r="M49" s="289" t="n"/>
      <c r="N49" s="321" t="inlineStr">
        <is>
          <t>Reviewed by</t>
        </is>
      </c>
      <c r="O49" s="289" t="n"/>
      <c r="P49" s="289" t="n"/>
      <c r="Q49" s="289" t="n"/>
      <c r="R49" s="289" t="n"/>
      <c r="S49" s="289" t="n"/>
      <c r="T49" s="289" t="n"/>
      <c r="U49" s="289" t="n"/>
      <c r="V49" s="289" t="n"/>
      <c r="W49" s="289" t="n"/>
      <c r="X49" s="289" t="n"/>
      <c r="Y49" s="289" t="n"/>
      <c r="Z49" s="289" t="n"/>
      <c r="AA49" s="322" t="inlineStr">
        <is>
          <t>Approved by</t>
        </is>
      </c>
      <c r="AB49" s="289" t="n"/>
      <c r="AC49" s="289" t="n"/>
      <c r="AD49" s="289" t="n"/>
      <c r="AE49" s="289" t="n"/>
      <c r="AF49" s="289" t="n"/>
      <c r="AG49" s="289" t="n"/>
      <c r="AH49" s="289" t="n"/>
      <c r="AI49" s="289" t="n"/>
      <c r="AJ49" s="289" t="n"/>
      <c r="AK49" s="289" t="n"/>
      <c r="AL49" s="289" t="n"/>
      <c r="AM49" s="289" t="n"/>
      <c r="AN49" s="290" t="n"/>
    </row>
    <row r="50" hidden="1" outlineLevel="1">
      <c r="A50" s="323" t="inlineStr">
        <is>
          <t>Name  /  Signature  /  Date</t>
        </is>
      </c>
      <c r="B50" s="268" t="n"/>
      <c r="C50" s="268" t="n"/>
      <c r="D50" s="268" t="n"/>
      <c r="E50" s="268" t="n"/>
      <c r="F50" s="268" t="n"/>
      <c r="G50" s="268" t="n"/>
      <c r="H50" s="268" t="n"/>
      <c r="I50" s="268" t="n"/>
      <c r="J50" s="268" t="n"/>
      <c r="K50" s="268" t="n"/>
      <c r="L50" s="268" t="n"/>
      <c r="M50" s="324" t="n"/>
      <c r="N50" s="323" t="inlineStr">
        <is>
          <t>Name  /  Signature  /  Date</t>
        </is>
      </c>
      <c r="O50" s="268" t="n"/>
      <c r="P50" s="268" t="n"/>
      <c r="Q50" s="268" t="n"/>
      <c r="R50" s="268" t="n"/>
      <c r="S50" s="268" t="n"/>
      <c r="T50" s="268" t="n"/>
      <c r="U50" s="268" t="n"/>
      <c r="V50" s="268" t="n"/>
      <c r="W50" s="268" t="n"/>
      <c r="X50" s="268" t="n"/>
      <c r="Y50" s="268" t="n"/>
      <c r="Z50" s="324" t="n"/>
      <c r="AA50" s="323" t="inlineStr">
        <is>
          <t>Name  /  Signature  /  Date</t>
        </is>
      </c>
      <c r="AB50" s="268" t="n"/>
      <c r="AC50" s="268" t="n"/>
      <c r="AD50" s="268" t="n"/>
      <c r="AE50" s="268" t="n"/>
      <c r="AF50" s="268" t="n"/>
      <c r="AG50" s="268" t="n"/>
      <c r="AH50" s="268" t="n"/>
      <c r="AI50" s="268" t="n"/>
      <c r="AJ50" s="268" t="n"/>
      <c r="AK50" s="268" t="n"/>
      <c r="AL50" s="268" t="n"/>
      <c r="AM50" s="268" t="n"/>
      <c r="AN50" s="324" t="n"/>
    </row>
    <row r="51" hidden="1" outlineLevel="1">
      <c r="A51" s="275" t="n"/>
      <c r="M51" s="325" t="n"/>
      <c r="N51" s="275" t="n"/>
      <c r="Z51" s="325" t="n"/>
      <c r="AA51" s="275" t="n"/>
      <c r="AN51" s="325" t="n"/>
    </row>
    <row r="52" hidden="1" outlineLevel="1">
      <c r="A52" s="282" t="n"/>
      <c r="B52" s="283" t="n"/>
      <c r="C52" s="283" t="n"/>
      <c r="D52" s="283" t="n"/>
      <c r="E52" s="283" t="n"/>
      <c r="F52" s="283" t="n"/>
      <c r="G52" s="283" t="n"/>
      <c r="H52" s="283" t="n"/>
      <c r="I52" s="283" t="n"/>
      <c r="J52" s="283" t="n"/>
      <c r="K52" s="283" t="n"/>
      <c r="L52" s="283" t="n"/>
      <c r="M52" s="287" t="n"/>
      <c r="N52" s="282" t="n"/>
      <c r="O52" s="283" t="n"/>
      <c r="P52" s="283" t="n"/>
      <c r="Q52" s="283" t="n"/>
      <c r="R52" s="283" t="n"/>
      <c r="S52" s="283" t="n"/>
      <c r="T52" s="283" t="n"/>
      <c r="U52" s="283" t="n"/>
      <c r="V52" s="283" t="n"/>
      <c r="W52" s="283" t="n"/>
      <c r="X52" s="283" t="n"/>
      <c r="Y52" s="283" t="n"/>
      <c r="Z52" s="287" t="n"/>
      <c r="AA52" s="282" t="n"/>
      <c r="AB52" s="283" t="n"/>
      <c r="AC52" s="283" t="n"/>
      <c r="AD52" s="283" t="n"/>
      <c r="AE52" s="283" t="n"/>
      <c r="AF52" s="283" t="n"/>
      <c r="AG52" s="283" t="n"/>
      <c r="AH52" s="283" t="n"/>
      <c r="AI52" s="283" t="n"/>
      <c r="AJ52" s="283" t="n"/>
      <c r="AK52" s="283" t="n"/>
      <c r="AL52" s="283" t="n"/>
      <c r="AM52" s="283" t="n"/>
      <c r="AN52" s="287" t="n"/>
    </row>
    <row r="53" hidden="1" outlineLevel="1">
      <c r="A53" s="25" t="n"/>
    </row>
    <row r="54" hidden="1" outlineLevel="1">
      <c r="A54" s="326" t="inlineStr">
        <is>
          <t>NOTICE  -  Enter data only in designated white input cells. Do not add, delete or resize columns/rows. File naming: FRM-202_{Customer}_{PO}.xlsx. Ref: SOP-201 / WI-201, WI-202, WI-203. Retain 10 years per QMS retention schedule.</t>
        </is>
      </c>
      <c r="B54" s="289" t="n"/>
      <c r="C54" s="289" t="n"/>
      <c r="D54" s="289" t="n"/>
      <c r="E54" s="289" t="n"/>
      <c r="F54" s="289" t="n"/>
      <c r="G54" s="289" t="n"/>
      <c r="H54" s="289" t="n"/>
      <c r="I54" s="289" t="n"/>
      <c r="J54" s="289" t="n"/>
      <c r="K54" s="289" t="n"/>
      <c r="L54" s="289" t="n"/>
      <c r="M54" s="289" t="n"/>
      <c r="N54" s="289" t="n"/>
      <c r="O54" s="289" t="n"/>
      <c r="P54" s="289" t="n"/>
      <c r="Q54" s="289" t="n"/>
      <c r="R54" s="289" t="n"/>
      <c r="S54" s="289" t="n"/>
      <c r="T54" s="289" t="n"/>
      <c r="U54" s="289" t="n"/>
      <c r="V54" s="289" t="n"/>
      <c r="W54" s="289" t="n"/>
      <c r="X54" s="289" t="n"/>
      <c r="Y54" s="289" t="n"/>
      <c r="Z54" s="289" t="n"/>
      <c r="AA54" s="289" t="n"/>
      <c r="AB54" s="289" t="n"/>
      <c r="AC54" s="289" t="n"/>
      <c r="AD54" s="289" t="n"/>
      <c r="AE54" s="289" t="n"/>
      <c r="AF54" s="289" t="n"/>
      <c r="AG54" s="289" t="n"/>
      <c r="AH54" s="289" t="n"/>
      <c r="AI54" s="289" t="n"/>
      <c r="AJ54" s="289" t="n"/>
      <c r="AK54" s="289" t="n"/>
      <c r="AL54" s="289" t="n"/>
      <c r="AM54" s="289" t="n"/>
      <c r="AN54" s="290" t="n"/>
    </row>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07">
    <mergeCell ref="AM26:AN26"/>
    <mergeCell ref="A17:G17"/>
    <mergeCell ref="AF23:AI23"/>
    <mergeCell ref="T25:AE25"/>
    <mergeCell ref="C31:E31"/>
    <mergeCell ref="AB17:AN17"/>
    <mergeCell ref="AM29:AN29"/>
    <mergeCell ref="AM23:AN23"/>
    <mergeCell ref="A32:AN32"/>
    <mergeCell ref="C21:E21"/>
    <mergeCell ref="A14:AN14"/>
    <mergeCell ref="I4:AD4"/>
    <mergeCell ref="AJ34:AL34"/>
    <mergeCell ref="AD35:AH35"/>
    <mergeCell ref="AF22:AI22"/>
    <mergeCell ref="A9:G9"/>
    <mergeCell ref="I1:AD3"/>
    <mergeCell ref="AE4:AH4"/>
    <mergeCell ref="AF36:AI36"/>
    <mergeCell ref="C23:E23"/>
    <mergeCell ref="U9:AA9"/>
    <mergeCell ref="AD34:AH34"/>
    <mergeCell ref="AJ36:AL36"/>
    <mergeCell ref="AM24:AN24"/>
    <mergeCell ref="C34:L34"/>
    <mergeCell ref="AF34:AI34"/>
    <mergeCell ref="T22:AE22"/>
    <mergeCell ref="AL39:AN39"/>
    <mergeCell ref="A27:B27"/>
    <mergeCell ref="A11:G11"/>
    <mergeCell ref="T31:AE31"/>
    <mergeCell ref="A40:AN40"/>
    <mergeCell ref="AJ29:AL29"/>
    <mergeCell ref="AD36:AH36"/>
    <mergeCell ref="T34:AE34"/>
    <mergeCell ref="T28:AE28"/>
    <mergeCell ref="H9:T9"/>
    <mergeCell ref="AJ22:AL22"/>
    <mergeCell ref="AJ31:AL31"/>
    <mergeCell ref="F31:S31"/>
    <mergeCell ref="A22:B22"/>
    <mergeCell ref="F28:S28"/>
    <mergeCell ref="T30:AE30"/>
    <mergeCell ref="A35:B35"/>
    <mergeCell ref="A37:G37"/>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B38:AN38"/>
    <mergeCell ref="AF26:AI26"/>
    <mergeCell ref="C22:E22"/>
    <mergeCell ref="I5:AD5"/>
    <mergeCell ref="U8:AA8"/>
    <mergeCell ref="AB8:AN8"/>
    <mergeCell ref="AF35:AI35"/>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J35:AL35"/>
    <mergeCell ref="AI3:AN3"/>
    <mergeCell ref="F36:S36"/>
    <mergeCell ref="AL35:AN35"/>
    <mergeCell ref="H10:T10"/>
    <mergeCell ref="A26:B26"/>
    <mergeCell ref="AJ25:AL25"/>
    <mergeCell ref="M38:X38"/>
    <mergeCell ref="AM30:AN30"/>
    <mergeCell ref="AI5:AN5"/>
    <mergeCell ref="C35:L35"/>
    <mergeCell ref="Y37:AC37"/>
    <mergeCell ref="F22:S22"/>
    <mergeCell ref="C24:E24"/>
    <mergeCell ref="AF25:AI25"/>
    <mergeCell ref="U37:AA37"/>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H37:T37"/>
    <mergeCell ref="AI36:AK36"/>
    <mergeCell ref="AL37:AN37"/>
    <mergeCell ref="AF31:AI31"/>
    <mergeCell ref="A33:AN33"/>
    <mergeCell ref="H12:T12"/>
    <mergeCell ref="A36:B36"/>
    <mergeCell ref="A38:G38"/>
    <mergeCell ref="AM22:AN22"/>
    <mergeCell ref="T21:AE21"/>
    <mergeCell ref="AF28:AI28"/>
    <mergeCell ref="C37:L37"/>
    <mergeCell ref="T26:AE26"/>
    <mergeCell ref="AA43:AN45"/>
    <mergeCell ref="Y35:AC35"/>
    <mergeCell ref="F24:S24"/>
    <mergeCell ref="A19:AN19"/>
    <mergeCell ref="T23:AE23"/>
    <mergeCell ref="A1:H5"/>
    <mergeCell ref="H38:T38"/>
    <mergeCell ref="F26:S26"/>
    <mergeCell ref="A21:B21"/>
    <mergeCell ref="C28:E28"/>
    <mergeCell ref="AI2:AN2"/>
    <mergeCell ref="F35:S35"/>
    <mergeCell ref="AE3:AH3"/>
    <mergeCell ref="T27:AE27"/>
    <mergeCell ref="A16:G16"/>
    <mergeCell ref="T36:AE3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F34:S34"/>
    <mergeCell ref="AI4:AN4"/>
    <mergeCell ref="F25:S25"/>
    <mergeCell ref="AI35:AK35"/>
    <mergeCell ref="U38:AA38"/>
    <mergeCell ref="AJ30:AL30"/>
    <mergeCell ref="AB37:AN37"/>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T35:AE35"/>
    <mergeCell ref="H16:T16"/>
  </mergeCells>
  <conditionalFormatting sqref="AF22:AI36">
    <cfRule type="cellIs" priority="1" operator="equal" dxfId="0">
      <formula>"FAIL"</formula>
    </cfRule>
    <cfRule type="cellIs" priority="2" operator="equal" dxfId="1">
      <formula>"HOLD"</formula>
    </cfRule>
    <cfRule type="cellIs" priority="3" operator="equal" dxfId="2">
      <formula>"PASS"</formula>
    </cfRule>
  </conditionalFormatting>
  <conditionalFormatting sqref="AB15:AN15">
    <cfRule type="cellIs" priority="4" operator="equal" dxfId="0">
      <formula>"FAIL"</formula>
    </cfRule>
    <cfRule type="cellIs" priority="5" operator="equal" dxfId="1">
      <formula>"HOLD"</formula>
    </cfRule>
    <cfRule type="cellIs" priority="6" operator="equal" dxfId="2">
      <formula>"PASS"</formula>
    </cfRule>
  </conditionalFormatting>
  <conditionalFormatting sqref="AB18:AN18">
    <cfRule type="cellIs" priority="7" operator="equal" dxfId="1">
      <formula>"OPEN"</formula>
    </cfRule>
    <cfRule type="cellIs" priority="8" operator="equal" dxfId="2">
      <formula>"CLOSED"</formula>
    </cfRule>
    <cfRule type="cellIs" priority="9" operator="equal" dxfId="3">
      <formula>"IN PROGRESS"</formula>
    </cfRule>
  </conditionalFormatting>
  <dataValidations count="41">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H9" showDropDown="0" showInputMessage="0" showErrorMessage="0" allowBlank="1" error="Use controlled value from REF_PART_REV_MASTER." prompt="Select from REF_PART_REV_MASTER." type="list">
      <formula1>=REF_PART_REV_MASTER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 sqref="AF32" showDropDown="0" showInputMessage="0" showErrorMessage="1" allowBlank="1" errorTitle="Invalid" error="Select PASS, HOLD, FAIL, or NA." type="list">
      <formula1>=VAL_RESULT_CORE</formula1>
    </dataValidation>
    <dataValidation sqref="AF33" showDropDown="0" showInputMessage="0" showErrorMessage="1" allowBlank="1" errorTitle="Invalid" error="Select PASS, HOLD, FAIL, or NA." type="list">
      <formula1>=VAL_RESULT_CORE</formula1>
    </dataValidation>
    <dataValidation sqref="AF34" showDropDown="0" showInputMessage="0" showErrorMessage="1" allowBlank="1" errorTitle="Invalid" error="Select PASS, HOLD, FAIL, or NA." type="list">
      <formula1>=VAL_RESULT_CORE</formula1>
    </dataValidation>
    <dataValidation sqref="AF35" showDropDown="0" showInputMessage="0" showErrorMessage="1" allowBlank="1" errorTitle="Invalid" error="Select PASS, HOLD, FAIL, or NA." type="list">
      <formula1>=VAL_RESULT_CORE</formula1>
    </dataValidation>
    <dataValidation sqref="AF36" showDropDown="0" showInputMessage="0" showErrorMessage="1" allowBlank="1" errorTitle="Invalid" error="Select PASS, HOLD, FAIL, or NA." type="list">
      <formula1>=VAL_RESULT_CORE</formula1>
    </dataValidation>
  </dataValidations>
  <printOptions headings="0"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9"/>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VAL_RESULT_CORE</t>
        </is>
      </c>
      <c r="B1" t="inlineStr">
        <is>
          <t>VAL_DECISION_GATE_CORE</t>
        </is>
      </c>
      <c r="C1" t="inlineStr">
        <is>
          <t>VAL_STATUS_CORE</t>
        </is>
      </c>
      <c r="D1" t="inlineStr">
        <is>
          <t>VAL_RISK_LEVEL_CORE</t>
        </is>
      </c>
      <c r="E1" t="inlineStr">
        <is>
          <t>VAL_YES_NO</t>
        </is>
      </c>
      <c r="F1" t="inlineStr">
        <is>
          <t>VAL_DISCOVERY_STAGE</t>
        </is>
      </c>
      <c r="G1" t="inlineStr">
        <is>
          <t>VAL_CK_CATEGORY</t>
        </is>
      </c>
    </row>
    <row r="2">
      <c r="A2" t="inlineStr">
        <is>
          <t>PASS</t>
        </is>
      </c>
      <c r="B2" t="inlineStr">
        <is>
          <t>APPROVED</t>
        </is>
      </c>
      <c r="C2" t="inlineStr">
        <is>
          <t>OPEN</t>
        </is>
      </c>
      <c r="D2" t="inlineStr">
        <is>
          <t>LOW</t>
        </is>
      </c>
      <c r="E2" t="inlineStr">
        <is>
          <t>YES</t>
        </is>
      </c>
      <c r="F2" t="inlineStr">
        <is>
          <t>INCOMING</t>
        </is>
      </c>
      <c r="G2" t="inlineStr">
        <is>
          <t>COM</t>
        </is>
      </c>
    </row>
    <row r="3">
      <c r="A3" t="inlineStr">
        <is>
          <t>HOLD</t>
        </is>
      </c>
      <c r="B3" t="inlineStr">
        <is>
          <t>CONDITIONAL</t>
        </is>
      </c>
      <c r="C3" t="inlineStr">
        <is>
          <t>IN PROGRESS</t>
        </is>
      </c>
      <c r="D3" t="inlineStr">
        <is>
          <t>MEDIUM</t>
        </is>
      </c>
      <c r="E3" t="inlineStr">
        <is>
          <t>NO</t>
        </is>
      </c>
      <c r="F3" t="inlineStr">
        <is>
          <t>SETUP</t>
        </is>
      </c>
      <c r="G3" t="inlineStr">
        <is>
          <t>TEC</t>
        </is>
      </c>
    </row>
    <row r="4">
      <c r="A4" t="inlineStr">
        <is>
          <t>FAIL</t>
        </is>
      </c>
      <c r="B4" t="inlineStr">
        <is>
          <t>HOLD</t>
        </is>
      </c>
      <c r="C4" t="inlineStr">
        <is>
          <t>CLOSED</t>
        </is>
      </c>
      <c r="D4" t="inlineStr">
        <is>
          <t>HIGH</t>
        </is>
      </c>
      <c r="E4" t="inlineStr">
        <is>
          <t>NA</t>
        </is>
      </c>
      <c r="F4" t="inlineStr">
        <is>
          <t>FIRST PIECE</t>
        </is>
      </c>
      <c r="G4" t="inlineStr">
        <is>
          <t>QUA</t>
        </is>
      </c>
    </row>
    <row r="5">
      <c r="A5" t="inlineStr">
        <is>
          <t>NA</t>
        </is>
      </c>
      <c r="B5" t="inlineStr">
        <is>
          <t>REJECT</t>
        </is>
      </c>
      <c r="C5" t="inlineStr">
        <is>
          <t>MONITORING</t>
        </is>
      </c>
      <c r="D5" t="inlineStr">
        <is>
          <t>CRITICAL</t>
        </is>
      </c>
      <c r="F5" t="inlineStr">
        <is>
          <t>IN-PROCESS</t>
        </is>
      </c>
      <c r="G5" t="inlineStr">
        <is>
          <t>CAP</t>
        </is>
      </c>
    </row>
    <row r="6">
      <c r="C6" t="inlineStr">
        <is>
          <t>SUPERSEDED</t>
        </is>
      </c>
      <c r="F6" t="inlineStr">
        <is>
          <t>FINAL INSPECTION</t>
        </is>
      </c>
      <c r="G6" t="inlineStr">
        <is>
          <t>CON</t>
        </is>
      </c>
    </row>
    <row r="7">
      <c r="C7" t="inlineStr">
        <is>
          <t>VOID</t>
        </is>
      </c>
      <c r="F7" t="inlineStr">
        <is>
          <t>PACKAGING</t>
        </is>
      </c>
      <c r="G7" t="inlineStr">
        <is>
          <t>DOC</t>
        </is>
      </c>
    </row>
    <row r="8" hidden="1">
      <c r="F8" t="inlineStr">
        <is>
          <t>SHIPPING</t>
        </is>
      </c>
      <c r="G8" t="inlineStr">
        <is>
          <t>REL</t>
        </is>
      </c>
    </row>
    <row r="9" hidden="1">
      <c r="F9" t="inlineStr">
        <is>
          <t>CUSTOMER</t>
        </is>
      </c>
      <c r="G9" t="inlineStr">
        <is>
          <t>CNC</t>
        </is>
      </c>
    </row>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6"/>
  <sheetViews>
    <sheetView showGridLines="0"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REF_PART_REV_MASTER</t>
        </is>
      </c>
      <c r="C1" t="inlineStr">
        <is>
          <t>REF_OWNER_PERSON_MASTER</t>
        </is>
      </c>
      <c r="D1" t="inlineStr">
        <is>
          <t>REF_DOCUMENT_CODE_MASTER</t>
        </is>
      </c>
    </row>
    <row r="2">
      <c r="A2" t="inlineStr">
        <is>
          <t>CUST-001 Alpha Semi</t>
        </is>
      </c>
      <c r="B2" t="inlineStr">
        <is>
          <t>PN-1001 / Rev.A</t>
        </is>
      </c>
      <c r="C2" t="inlineStr">
        <is>
          <t>Planning Lead</t>
        </is>
      </c>
      <c r="D2" t="inlineStr">
        <is>
          <t>FRM-202</t>
        </is>
      </c>
    </row>
    <row r="3">
      <c r="A3" t="inlineStr">
        <is>
          <t>CUST-002 NovaFab</t>
        </is>
      </c>
      <c r="B3" t="inlineStr">
        <is>
          <t>PN-1002 / Rev.B</t>
        </is>
      </c>
      <c r="C3" t="inlineStr">
        <is>
          <t>Production Supervisor</t>
        </is>
      </c>
      <c r="D3" t="inlineStr">
        <is>
          <t>FRM-302</t>
        </is>
      </c>
    </row>
    <row r="4">
      <c r="A4" t="inlineStr">
        <is>
          <t>CUST-003 Orion Tech</t>
        </is>
      </c>
      <c r="B4" t="inlineStr">
        <is>
          <t>PN-1003 / Rev.C</t>
        </is>
      </c>
      <c r="C4" t="inlineStr">
        <is>
          <t>QA Engineer</t>
        </is>
      </c>
      <c r="D4" t="inlineStr">
        <is>
          <t>FRM-306</t>
        </is>
      </c>
    </row>
    <row r="5">
      <c r="C5" t="inlineStr">
        <is>
          <t>Engineering Lead</t>
        </is>
      </c>
      <c r="D5" t="inlineStr">
        <is>
          <t>FRM-511</t>
        </is>
      </c>
    </row>
    <row r="6">
      <c r="C6" t="inlineStr">
        <is>
          <t>Setup Technician</t>
        </is>
      </c>
      <c r="D6" t="inlineStr">
        <is>
          <t>FRM-519</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K28"/>
  <sheetViews>
    <sheetView showGridLines="0" workbookViewId="0">
      <selection activeCell="A1" sqref="A1"/>
    </sheetView>
  </sheetViews>
  <sheetFormatPr baseColWidth="8" defaultRowHeight="15"/>
  <cols>
    <col width="7" customWidth="1" min="1" max="1"/>
    <col width="18.96" customWidth="1" min="2" max="2"/>
    <col width="18.96" customWidth="1" min="3" max="3"/>
    <col width="9.48" customWidth="1" min="4" max="4"/>
    <col width="10.27" customWidth="1" min="5" max="5"/>
    <col width="7.9" customWidth="1" min="6" max="6"/>
    <col width="9.48" customWidth="1" min="7" max="7"/>
    <col width="12.64" customWidth="1" min="8" max="8"/>
    <col hidden="1" outlineLevel="1" width="13" customWidth="1" min="9" max="16384"/>
  </cols>
  <sheetData>
    <row r="1" ht="15" customHeight="1">
      <c r="A1" s="390" t="n"/>
      <c r="B1" s="324" t="n"/>
      <c r="C1" s="391" t="inlineStr">
        <is>
          <t>OPEN ACTIONS / CONDITIONAL RELEASE LOG</t>
        </is>
      </c>
      <c r="D1" s="268" t="n"/>
      <c r="E1" s="268" t="n"/>
      <c r="F1" s="324" t="n"/>
      <c r="G1" s="342" t="inlineStr">
        <is>
          <t>Form Code</t>
        </is>
      </c>
      <c r="H1" s="343" t="inlineStr">
        <is>
          <t>FRM-202</t>
        </is>
      </c>
    </row>
    <row r="2" ht="15" customHeight="1">
      <c r="A2" s="275" t="n"/>
      <c r="B2" s="325" t="n"/>
      <c r="C2" s="275" t="n"/>
      <c r="F2" s="325" t="n"/>
      <c r="G2" s="349" t="inlineStr">
        <is>
          <t>Revision</t>
        </is>
      </c>
      <c r="H2" s="350" t="inlineStr">
        <is>
          <t>V0</t>
        </is>
      </c>
      <c r="K2" t="inlineStr">
        <is>
          <t>V1</t>
        </is>
      </c>
    </row>
    <row r="3" ht="15" customHeight="1">
      <c r="A3" s="275" t="n"/>
      <c r="B3" s="325" t="n"/>
      <c r="C3" s="282" t="n"/>
      <c r="D3" s="283" t="n"/>
      <c r="E3" s="283" t="n"/>
      <c r="F3" s="287" t="n"/>
      <c r="G3" s="349" t="inlineStr">
        <is>
          <t>Eff. Date</t>
        </is>
      </c>
      <c r="H3" s="350" t="inlineStr">
        <is>
          <t>YYYY-MM-DD</t>
        </is>
      </c>
      <c r="K3" t="inlineStr">
        <is>
          <t>2026-03-22</t>
        </is>
      </c>
    </row>
    <row r="4" ht="15" customHeight="1">
      <c r="A4" s="275" t="n"/>
      <c r="B4" s="325" t="n"/>
      <c r="C4" s="392" t="inlineStr">
        <is>
          <t>Quality Management System  ·  Controlled Document</t>
        </is>
      </c>
      <c r="D4" s="289" t="n"/>
      <c r="E4" s="289" t="n"/>
      <c r="F4" s="290" t="n"/>
      <c r="G4" s="349" t="inlineStr">
        <is>
          <t>Owner</t>
        </is>
      </c>
      <c r="H4" s="350" t="inlineStr"/>
    </row>
    <row r="5" ht="15" customHeight="1">
      <c r="A5" s="282" t="n"/>
      <c r="B5" s="287" t="n"/>
      <c r="C5" s="393" t="inlineStr">
        <is>
          <t>HESEM Engineering  ·  ISO 9001 / AS9100  ·  Semiconductor Equipment Parts</t>
        </is>
      </c>
      <c r="D5" s="289" t="n"/>
      <c r="E5" s="289" t="n"/>
      <c r="F5" s="290" t="n"/>
      <c r="G5" s="362" t="inlineStr">
        <is>
          <t>Approved</t>
        </is>
      </c>
      <c r="H5" s="363" t="inlineStr"/>
    </row>
    <row r="6" ht="4" customHeight="1">
      <c r="A6" s="390" t="n"/>
      <c r="B6" s="289" t="n"/>
      <c r="C6" s="289" t="n"/>
      <c r="D6" s="289" t="n"/>
      <c r="E6" s="289" t="n"/>
      <c r="F6" s="289" t="n"/>
      <c r="G6" s="289" t="n"/>
      <c r="H6" s="290" t="n"/>
    </row>
    <row r="7" ht="17" customHeight="1">
      <c r="A7" s="394" t="inlineStr">
        <is>
          <t>1.  CONTROL CONTEXT / SUPPORT TAB PURPOSE</t>
        </is>
      </c>
      <c r="B7" s="289" t="n"/>
      <c r="C7" s="289" t="n"/>
      <c r="D7" s="289" t="n"/>
      <c r="E7" s="289" t="n"/>
      <c r="F7" s="289" t="n"/>
      <c r="G7" s="289" t="n"/>
      <c r="H7" s="290" t="n"/>
    </row>
    <row r="8" ht="20" customHeight="1">
      <c r="A8" s="395" t="inlineStr">
        <is>
          <t>Parent Form</t>
        </is>
      </c>
      <c r="B8" s="290" t="n"/>
      <c r="C8" s="396" t="inlineStr">
        <is>
          <t>FRM-202 · CONTRACT REVIEW CHECKLIST</t>
        </is>
      </c>
      <c r="D8" s="290" t="n"/>
      <c r="E8" s="395" t="inlineStr">
        <is>
          <t>Support Tab</t>
        </is>
      </c>
      <c r="F8" s="290" t="n"/>
      <c r="G8" s="396" t="inlineStr">
        <is>
          <t>ACTIONS</t>
        </is>
      </c>
      <c r="H8" s="290" t="n"/>
    </row>
    <row r="9" ht="20" customHeight="1">
      <c r="A9" s="395" t="inlineStr">
        <is>
          <t>Tab Purpose</t>
        </is>
      </c>
      <c r="B9" s="290" t="n"/>
      <c r="C9" s="396" t="inlineStr">
        <is>
          <t>Use for conditional release items only.</t>
        </is>
      </c>
      <c r="D9" s="290" t="n"/>
      <c r="E9" s="395" t="inlineStr">
        <is>
          <t>Working Owner</t>
        </is>
      </c>
      <c r="F9" s="290" t="n"/>
      <c r="G9" s="396" t="inlineStr"/>
      <c r="H9" s="290" t="n"/>
    </row>
    <row r="10" ht="20" customHeight="1">
      <c r="A10" s="395" t="inlineStr">
        <is>
          <t>Source of Truth</t>
        </is>
      </c>
      <c r="B10" s="290" t="n"/>
      <c r="C10" s="396" t="inlineStr">
        <is>
          <t>Use controlled parent-form references, _IMPORT lists and approved evidence sources only.</t>
        </is>
      </c>
      <c r="D10" s="290" t="n"/>
      <c r="E10" s="395" t="inlineStr">
        <is>
          <t>Reviewed By</t>
        </is>
      </c>
      <c r="F10" s="290" t="n"/>
      <c r="G10" s="396" t="inlineStr"/>
      <c r="H10" s="290" t="n"/>
    </row>
    <row r="11" ht="20" customHeight="1">
      <c r="A11" s="395" t="inlineStr">
        <is>
          <t>Update Trigger</t>
        </is>
      </c>
      <c r="B11" s="290" t="n"/>
      <c r="C11" s="396" t="inlineStr">
        <is>
          <t>Update when the linked review, evidence or follow-up status changes.</t>
        </is>
      </c>
      <c r="D11" s="290" t="n"/>
      <c r="E11" s="395" t="inlineStr">
        <is>
          <t>Data Structure</t>
        </is>
      </c>
      <c r="F11" s="290" t="n"/>
      <c r="G11" s="396" t="inlineStr">
        <is>
          <t>Structured Excel Table with filters and print-title rows.</t>
        </is>
      </c>
      <c r="H11" s="290" t="n"/>
    </row>
    <row r="12" ht="20" customHeight="1">
      <c r="A12" s="395" t="inlineStr">
        <is>
          <t>Retention Rule</t>
        </is>
      </c>
      <c r="B12" s="290" t="n"/>
      <c r="C12" s="396" t="inlineStr">
        <is>
          <t>Do not delete historical lines once evidence has been recorded or reviewed.</t>
        </is>
      </c>
      <c r="D12" s="290" t="n"/>
      <c r="E12" s="395" t="inlineStr">
        <is>
          <t>Controlled Status</t>
        </is>
      </c>
      <c r="F12" s="290" t="n"/>
      <c r="G12" s="396" t="inlineStr">
        <is>
          <t>Support sheet only — not a replacement for ERP / M365 system-of-record.</t>
        </is>
      </c>
      <c r="H12" s="290" t="n"/>
    </row>
    <row r="13" ht="4" customHeight="1">
      <c r="A13" s="390" t="n"/>
      <c r="B13" s="289" t="n"/>
      <c r="C13" s="289" t="n"/>
      <c r="D13" s="289" t="n"/>
      <c r="E13" s="289" t="n"/>
      <c r="F13" s="289" t="n"/>
      <c r="G13" s="289" t="n"/>
      <c r="H13" s="290" t="n"/>
    </row>
    <row r="14" ht="17" customHeight="1">
      <c r="A14" s="394" t="inlineStr">
        <is>
          <t>2.  WORKING TABLE / DETAIL LINES</t>
        </is>
      </c>
      <c r="B14" s="289" t="n"/>
      <c r="C14" s="289" t="n"/>
      <c r="D14" s="289" t="n"/>
      <c r="E14" s="289" t="n"/>
      <c r="F14" s="289" t="n"/>
      <c r="G14" s="289" t="n"/>
      <c r="H14" s="290" t="n"/>
    </row>
    <row r="15" ht="24" customHeight="1">
      <c r="A15" s="397" t="inlineStr">
        <is>
          <t>Use for conditional release items only.</t>
        </is>
      </c>
      <c r="B15" s="289" t="n"/>
      <c r="C15" s="289" t="n"/>
      <c r="D15" s="289" t="n"/>
      <c r="E15" s="289" t="n"/>
      <c r="F15" s="289" t="n"/>
      <c r="G15" s="289" t="n"/>
      <c r="H15" s="290" t="n"/>
    </row>
    <row r="16" ht="18" customHeight="1">
      <c r="A16" s="377" t="inlineStr">
        <is>
          <t>#</t>
        </is>
      </c>
      <c r="B16" s="378" t="inlineStr">
        <is>
          <t>Open Condition / Issue</t>
        </is>
      </c>
      <c r="C16" s="378" t="inlineStr">
        <is>
          <t>Required Action</t>
        </is>
      </c>
      <c r="D16" s="378" t="inlineStr">
        <is>
          <t>Owner</t>
        </is>
      </c>
      <c r="E16" s="378" t="inlineStr">
        <is>
          <t>Due Date</t>
        </is>
      </c>
      <c r="F16" s="378" t="inlineStr">
        <is>
          <t>Escalation</t>
        </is>
      </c>
      <c r="G16" s="378" t="inlineStr">
        <is>
          <t>Status</t>
        </is>
      </c>
      <c r="H16" s="379" t="inlineStr">
        <is>
          <t>Evidence Ref</t>
        </is>
      </c>
    </row>
    <row r="17" ht="20" customHeight="1">
      <c r="A17" s="380">
        <f>ROW()-ROW($A$17)+1</f>
        <v/>
      </c>
      <c r="B17" s="381" t="n"/>
      <c r="C17" s="381" t="n"/>
      <c r="D17" s="381" t="n"/>
      <c r="E17" s="382" t="n"/>
      <c r="F17" s="381" t="n"/>
      <c r="G17" s="381" t="n"/>
      <c r="H17" s="350" t="n"/>
    </row>
    <row r="18" ht="20" customHeight="1">
      <c r="A18" s="380">
        <f>ROW()-ROW($A$17)+1</f>
        <v/>
      </c>
      <c r="B18" s="383" t="n"/>
      <c r="C18" s="383" t="n"/>
      <c r="D18" s="383" t="n"/>
      <c r="E18" s="384" t="n"/>
      <c r="F18" s="383" t="n"/>
      <c r="G18" s="383" t="n"/>
      <c r="H18" s="385" t="n"/>
    </row>
    <row r="19" ht="20" customHeight="1">
      <c r="A19" s="380">
        <f>ROW()-ROW($A$17)+1</f>
        <v/>
      </c>
      <c r="B19" s="381" t="n"/>
      <c r="C19" s="381" t="n"/>
      <c r="D19" s="381" t="n"/>
      <c r="E19" s="382" t="n"/>
      <c r="F19" s="381" t="n"/>
      <c r="G19" s="381" t="n"/>
      <c r="H19" s="350" t="n"/>
    </row>
    <row r="20" ht="20" customHeight="1">
      <c r="A20" s="380">
        <f>ROW()-ROW($A$17)+1</f>
        <v/>
      </c>
      <c r="B20" s="383" t="n"/>
      <c r="C20" s="383" t="n"/>
      <c r="D20" s="383" t="n"/>
      <c r="E20" s="384" t="n"/>
      <c r="F20" s="383" t="n"/>
      <c r="G20" s="383" t="n"/>
      <c r="H20" s="385" t="n"/>
    </row>
    <row r="21" ht="20" customHeight="1">
      <c r="A21" s="380">
        <f>ROW()-ROW($A$17)+1</f>
        <v/>
      </c>
      <c r="B21" s="381" t="n"/>
      <c r="C21" s="381" t="n"/>
      <c r="D21" s="381" t="n"/>
      <c r="E21" s="382" t="n"/>
      <c r="F21" s="381" t="n"/>
      <c r="G21" s="381" t="n"/>
      <c r="H21" s="350" t="n"/>
    </row>
    <row r="22" ht="20" customHeight="1">
      <c r="A22" s="380">
        <f>ROW()-ROW($A$17)+1</f>
        <v/>
      </c>
      <c r="B22" s="383" t="n"/>
      <c r="C22" s="383" t="n"/>
      <c r="D22" s="383" t="n"/>
      <c r="E22" s="384" t="n"/>
      <c r="F22" s="383" t="n"/>
      <c r="G22" s="383" t="n"/>
      <c r="H22" s="385" t="n"/>
    </row>
    <row r="23" ht="20" customHeight="1">
      <c r="A23" s="380">
        <f>ROW()-ROW($A$17)+1</f>
        <v/>
      </c>
      <c r="B23" s="381" t="n"/>
      <c r="C23" s="381" t="n"/>
      <c r="D23" s="381" t="n"/>
      <c r="E23" s="382" t="n"/>
      <c r="F23" s="381" t="n"/>
      <c r="G23" s="381" t="n"/>
      <c r="H23" s="350" t="n"/>
    </row>
    <row r="24" ht="20" customHeight="1">
      <c r="A24" s="380">
        <f>ROW()-ROW($A$17)+1</f>
        <v/>
      </c>
      <c r="B24" s="383" t="n"/>
      <c r="C24" s="383" t="n"/>
      <c r="D24" s="383" t="n"/>
      <c r="E24" s="384" t="n"/>
      <c r="F24" s="383" t="n"/>
      <c r="G24" s="383" t="n"/>
      <c r="H24" s="385" t="n"/>
    </row>
    <row r="25" ht="20" customHeight="1">
      <c r="A25" s="380">
        <f>ROW()-ROW($A$17)+1</f>
        <v/>
      </c>
      <c r="B25" s="381" t="n"/>
      <c r="C25" s="381" t="n"/>
      <c r="D25" s="381" t="n"/>
      <c r="E25" s="382" t="n"/>
      <c r="F25" s="381" t="n"/>
      <c r="G25" s="381" t="n"/>
      <c r="H25" s="350" t="n"/>
    </row>
    <row r="26" ht="20" customHeight="1">
      <c r="A26" s="386">
        <f>ROW()-ROW($A$17)+1</f>
        <v/>
      </c>
      <c r="B26" s="387" t="n"/>
      <c r="C26" s="387" t="n"/>
      <c r="D26" s="387" t="n"/>
      <c r="E26" s="388" t="n"/>
      <c r="F26" s="387" t="n"/>
      <c r="G26" s="387" t="n"/>
      <c r="H26" s="389" t="n"/>
    </row>
    <row r="28" ht="24" customHeight="1">
      <c r="A28" s="397" t="inlineStr">
        <is>
          <t>NOTICE  —  Use for conditional release items only.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conditionalFormatting sqref="G17:G26">
    <cfRule type="cellIs" priority="1" operator="equal" dxfId="1">
      <formula>"OPEN"</formula>
    </cfRule>
    <cfRule type="cellIs" priority="2" operator="equal" dxfId="2">
      <formula>"CLOSED"</formula>
    </cfRule>
    <cfRule type="cellIs" priority="3" operator="equal" dxfId="3">
      <formula>"IN PROGRESS"</formula>
    </cfRule>
  </conditionalFormatting>
  <dataValidations count="2">
    <dataValidation sqref="D17:D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&amp;CFRM-202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7" t="inlineStr">
        <is>
          <t>REF LINKS</t>
        </is>
      </c>
      <c r="B1" s="335" t="n"/>
      <c r="C1" s="335" t="n"/>
      <c r="D1" s="335" t="n"/>
      <c r="E1" s="335" t="n"/>
      <c r="F1" s="335" t="n"/>
      <c r="G1" s="336" t="n"/>
    </row>
    <row r="2">
      <c r="A2" s="328" t="inlineStr">
        <is>
          <t>Reference Epicor / M365 / controlled documents only.</t>
        </is>
      </c>
    </row>
    <row r="3">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c r="A4" s="308" t="n"/>
      <c r="B4" s="308" t="n"/>
      <c r="C4" s="308" t="n"/>
      <c r="D4" s="308" t="n"/>
      <c r="E4" s="308" t="n"/>
      <c r="F4" s="308" t="n"/>
      <c r="G4" s="308" t="n"/>
    </row>
    <row r="5">
      <c r="A5" s="332" t="n"/>
      <c r="B5" s="332" t="n"/>
      <c r="C5" s="332" t="n"/>
      <c r="D5" s="332" t="n"/>
      <c r="E5" s="332" t="n"/>
      <c r="F5" s="332" t="n"/>
      <c r="G5" s="332" t="n"/>
    </row>
    <row r="6">
      <c r="A6" s="308" t="n"/>
      <c r="B6" s="308" t="n"/>
      <c r="C6" s="308" t="n"/>
      <c r="D6" s="308" t="n"/>
      <c r="E6" s="308" t="n"/>
      <c r="F6" s="308" t="n"/>
      <c r="G6" s="308" t="n"/>
    </row>
    <row r="7">
      <c r="A7" s="332" t="n"/>
      <c r="B7" s="332" t="n"/>
      <c r="C7" s="332" t="n"/>
      <c r="D7" s="332" t="n"/>
      <c r="E7" s="332" t="n"/>
      <c r="F7" s="332" t="n"/>
      <c r="G7" s="332" t="n"/>
    </row>
    <row r="8">
      <c r="A8" s="308" t="n"/>
      <c r="B8" s="308" t="n"/>
      <c r="C8" s="308" t="n"/>
      <c r="D8" s="308" t="n"/>
      <c r="E8" s="308" t="n"/>
      <c r="F8" s="308" t="n"/>
      <c r="G8" s="308" t="n"/>
    </row>
    <row r="9">
      <c r="A9" s="332" t="n"/>
      <c r="B9" s="332" t="n"/>
      <c r="C9" s="332" t="n"/>
      <c r="D9" s="332" t="n"/>
      <c r="E9" s="332" t="n"/>
      <c r="F9" s="332" t="n"/>
      <c r="G9" s="332" t="n"/>
    </row>
    <row r="10">
      <c r="A10" s="308" t="n"/>
      <c r="B10" s="308" t="n"/>
      <c r="C10" s="308" t="n"/>
      <c r="D10" s="308" t="n"/>
      <c r="E10" s="308" t="n"/>
      <c r="F10" s="308" t="n"/>
      <c r="G10" s="308" t="n"/>
    </row>
    <row r="11">
      <c r="A11" s="332" t="n"/>
      <c r="B11" s="332" t="n"/>
      <c r="C11" s="332" t="n"/>
      <c r="D11" s="332" t="n"/>
      <c r="E11" s="332" t="n"/>
      <c r="F11" s="332" t="n"/>
      <c r="G11" s="33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8" customWidth="1" min="1" max="1"/>
    <col width="14" customWidth="1" min="2" max="2"/>
    <col width="45" customWidth="1" min="3" max="3"/>
    <col width="18" customWidth="1" min="4" max="4"/>
    <col width="18" customWidth="1" min="5" max="5"/>
  </cols>
  <sheetData>
    <row r="1">
      <c r="A1" s="413" t="inlineStr">
        <is>
          <t>Rev</t>
        </is>
      </c>
      <c r="B1" s="413" t="inlineStr">
        <is>
          <t>Date</t>
        </is>
      </c>
      <c r="C1" s="413" t="inlineStr">
        <is>
          <t>Description</t>
        </is>
      </c>
      <c r="D1" s="413" t="inlineStr">
        <is>
          <t>Author</t>
        </is>
      </c>
      <c r="E1" s="413" t="inlineStr">
        <is>
          <t>Approved By</t>
        </is>
      </c>
    </row>
    <row r="2">
      <c r="A2" s="414" t="inlineStr">
        <is>
          <t>V0</t>
        </is>
      </c>
      <c r="B2" s="414" t="inlineStr">
        <is>
          <t>2026-03-21</t>
        </is>
      </c>
      <c r="C2" s="414" t="inlineStr">
        <is>
          <t>Initial controlled baseline</t>
        </is>
      </c>
      <c r="D2" s="414" t="inlineStr">
        <is>
          <t>QMS</t>
        </is>
      </c>
      <c r="E2" s="414" t="inlineStr">
        <is>
          <t>General Manager</t>
        </is>
      </c>
    </row>
    <row r="3">
      <c r="A3" s="414" t="inlineStr">
        <is>
          <t>V1</t>
        </is>
      </c>
      <c r="B3" s="414" t="inlineStr">
        <is>
          <t>2026-03-22</t>
        </is>
      </c>
      <c r="C3" s="414" t="inlineStr">
        <is>
          <t>Upgrade: CNC fields, cross-form linkage, conditional formatting, parent procedure ref</t>
        </is>
      </c>
      <c r="D3" s="414" t="inlineStr">
        <is>
          <t>QMS</t>
        </is>
      </c>
      <c r="E3" s="414" t="inlineStr">
        <is>
          <t>General Manager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2026-03-22T16:22:03Z</dcterms:modified>
</cp:coreProperties>
</file>