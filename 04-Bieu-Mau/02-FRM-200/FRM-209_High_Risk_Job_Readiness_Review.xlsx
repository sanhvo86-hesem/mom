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RM-209_GATE" sheetId="1" state="visible" r:id="rId1"/>
    <sheet xmlns:r="http://schemas.openxmlformats.org/officeDocument/2006/relationships" name="_LISTS" sheetId="2" state="veryHidden" r:id="rId2"/>
    <sheet xmlns:r="http://schemas.openxmlformats.org/officeDocument/2006/relationships" name="_IMPORT" sheetId="3" state="veryHidden" r:id="rId3"/>
    <sheet xmlns:r="http://schemas.openxmlformats.org/officeDocument/2006/relationships" name="RISKS_ACTIONS" sheetId="4" state="visible" r:id="rId4"/>
    <sheet xmlns:r="http://schemas.openxmlformats.org/officeDocument/2006/relationships" name="REF_LINKS" sheetId="5" state="veryHidden" r:id="rId5"/>
  </sheets>
  <definedNames>
    <definedName name="VAL_RESULT_CORE">'_LISTS'!$A$2:$A$5</definedName>
    <definedName name="VAL_DECISION_GATE_CORE">'_LISTS'!$B$2:$B$5</definedName>
    <definedName name="VAL_STATUS_CORE">'_LISTS'!$C$2:$C$7</definedName>
    <definedName name="VAL_RISK_LEVEL_CORE">'_LISTS'!$D$2:$D$5</definedName>
    <definedName name="REF_CUSTOMER_MASTER">'_IMPORT'!$A$2:$A$4</definedName>
    <definedName name="REF_PART_REV_MASTER">'_IMPORT'!$B$2:$B$4</definedName>
    <definedName name="REF_JOB_WO_MASTER">'_IMPORT'!$C$2:$C$4</definedName>
    <definedName name="REF_OWNER_PERSON_MASTER">'_IMPORT'!$D$2:$D$6</definedName>
    <definedName name="_xlnm.Print_Titles" localSheetId="0">'FRM-209_GATE'!$1:$21</definedName>
    <definedName name="_xlnm.Print_Area" localSheetId="0">'FRM-209_GATE'!$A$1:$AN$47</definedName>
    <definedName name="_xlnm.Print_Titles" localSheetId="3">'RISKS_ACTIONS'!$1:$16</definedName>
    <definedName name="_xlnm.Print_Area" localSheetId="3">'RISKS_ACTIONS'!$A$1:$I$28</definedName>
    <definedName name="_xlnm.Print_Area" localSheetId="4">'REF_LINKS'!$A$1:$G$11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90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63A70"/>
      <sz val="19"/>
    </font>
    <font>
      <name val="Segoe UI"/>
      <b val="1"/>
      <color rgb="008A3B12"/>
      <sz val="8"/>
    </font>
    <font>
      <name val="Segoe UI"/>
      <color rgb="001F2B3D"/>
      <sz val="9"/>
    </font>
    <font>
      <name val="Segoe UI"/>
      <color rgb="0070829A"/>
      <sz val="7"/>
    </font>
    <font>
      <name val="Segoe UI"/>
      <color rgb="003D4B60"/>
      <sz val="7"/>
    </font>
    <font>
      <name val="Segoe UI"/>
      <b val="1"/>
      <color rgb="00163A70"/>
      <sz val="10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5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FFE0D1"/>
      </patternFill>
    </fill>
    <fill>
      <patternFill patternType="solid">
        <fgColor rgb="00EAF1FB"/>
      </patternFill>
    </fill>
    <fill>
      <patternFill patternType="solid">
        <fgColor rgb="00F3F7FB"/>
      </patternFill>
    </fill>
    <fill>
      <patternFill patternType="solid">
        <fgColor rgb="000F5FA6"/>
      </patternFill>
    </fill>
    <fill>
      <patternFill patternType="solid">
        <fgColor rgb="00F7F9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86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0F5FA6"/>
      </left>
      <right style="thin">
        <color rgb="000F5FA6"/>
      </right>
      <top style="thin">
        <color rgb="000F5FA6"/>
      </top>
      <bottom style="thin">
        <color rgb="000F5FA6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/>
      <top style="thin">
        <color rgb="000F5FA6"/>
      </top>
      <bottom/>
      <diagonal/>
    </border>
    <border>
      <left/>
      <right style="thin">
        <color rgb="000F5FA6"/>
      </right>
      <top style="thin">
        <color rgb="000F5FA6"/>
      </top>
      <bottom/>
      <diagonal/>
    </border>
    <border>
      <left/>
      <right/>
      <top style="thin">
        <color rgb="000F5FA6"/>
      </top>
      <bottom style="thin">
        <color rgb="000F5FA6"/>
      </bottom>
      <diagonal/>
    </border>
    <border>
      <left/>
      <right style="thin">
        <color rgb="000F5FA6"/>
      </right>
      <top style="thin">
        <color rgb="000F5FA6"/>
      </top>
      <bottom style="thin">
        <color rgb="000F5FA6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E2E8F0"/>
      </left>
      <right style="thin">
        <color rgb="000078D4"/>
      </right>
      <top style="thin">
        <color rgb="000078D4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 style="thin">
        <color rgb="00E2E8F0"/>
      </left>
      <right style="thin">
        <color rgb="000078D4"/>
      </right>
      <top style="thin">
        <color rgb="00E2E8F0"/>
      </top>
      <bottom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E2E8F0"/>
      </top>
      <bottom/>
    </border>
    <border>
      <left style="thin">
        <color rgb="00E2E8F0"/>
      </left>
      <right/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 style="thin">
        <color rgb="00C5D9E8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thin">
        <color rgb="00E2E8F0"/>
      </right>
      <top style="thin">
        <color rgb="000078D4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</borders>
  <cellStyleXfs count="1">
    <xf numFmtId="0" fontId="82" fillId="0" borderId="0"/>
  </cellStyleXfs>
  <cellXfs count="765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12" fillId="6" borderId="13" applyAlignment="1" pivotButton="0" quotePrefix="0" xfId="0">
      <alignment horizontal="left" vertical="center" wrapText="1"/>
    </xf>
    <xf numFmtId="0" fontId="12" fillId="6" borderId="11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left" vertical="center" wrapText="1"/>
    </xf>
    <xf numFmtId="0" fontId="12" fillId="6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/>
    </xf>
    <xf numFmtId="0" fontId="11" fillId="6" borderId="9" applyAlignment="1" pivotButton="0" quotePrefix="0" xfId="0">
      <alignment horizontal="left" vertical="center" wrapTex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/>
    </xf>
    <xf numFmtId="0" fontId="38" fillId="15" borderId="56" applyAlignment="1" pivotButton="0" quotePrefix="0" xfId="0">
      <alignment horizontal="left" vertical="center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/>
    </xf>
    <xf numFmtId="0" fontId="42" fillId="16" borderId="50" applyAlignment="1" pivotButton="0" quotePrefix="0" xfId="0">
      <alignment horizontal="left" vertical="center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/>
    </xf>
    <xf numFmtId="0" fontId="45" fillId="25" borderId="59" applyAlignment="1" pivotButton="0" quotePrefix="0" xfId="0">
      <alignment horizontal="left" vertical="center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/>
    </xf>
    <xf numFmtId="0" fontId="49" fillId="17" borderId="29" applyAlignment="1" pivotButton="0" quotePrefix="0" xfId="0">
      <alignment horizontal="left" vertical="center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/>
    </xf>
    <xf numFmtId="0" fontId="5" fillId="7" borderId="19" applyAlignment="1" pivotButton="0" quotePrefix="0" xfId="0">
      <alignment horizontal="left" vertical="center"/>
    </xf>
    <xf numFmtId="0" fontId="12" fillId="6" borderId="19" applyAlignment="1" pivotButton="0" quotePrefix="0" xfId="0">
      <alignment horizontal="left" vertical="center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/>
    </xf>
    <xf numFmtId="0" fontId="36" fillId="8" borderId="1" applyAlignment="1" pivotButton="0" quotePrefix="0" xfId="0">
      <alignment horizontal="left" vertical="center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/>
    </xf>
    <xf numFmtId="0" fontId="57" fillId="4" borderId="13" applyAlignment="1" pivotButton="0" quotePrefix="0" xfId="0">
      <alignment horizontal="left" vertical="center" wrapText="1"/>
    </xf>
    <xf numFmtId="0" fontId="57" fillId="4" borderId="2" applyAlignment="1" pivotButton="0" quotePrefix="0" xfId="0">
      <alignment horizontal="left" vertical="center" wrapText="1"/>
    </xf>
    <xf numFmtId="0" fontId="57" fillId="4" borderId="9" applyAlignment="1" pivotButton="0" quotePrefix="0" xfId="0">
      <alignment horizontal="left" vertical="center" wrapTex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 wrapTex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/>
    </xf>
    <xf numFmtId="0" fontId="74" fillId="7" borderId="112" applyAlignment="1" pivotButton="0" quotePrefix="0" xfId="0">
      <alignment horizontal="left" vertical="center" wrapText="1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76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/>
    </xf>
    <xf numFmtId="0" fontId="6" fillId="4" borderId="16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left" vertical="center" wrapText="1"/>
    </xf>
    <xf numFmtId="0" fontId="6" fillId="4" borderId="17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38" applyAlignment="1" pivotButton="0" quotePrefix="0" xfId="0">
      <alignment horizontal="left" vertical="center" wrapText="1"/>
    </xf>
    <xf numFmtId="0" fontId="6" fillId="4" borderId="18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center" vertical="center" wrapText="1"/>
    </xf>
    <xf numFmtId="0" fontId="77" fillId="47" borderId="17" applyAlignment="1" pivotButton="0" quotePrefix="0" xfId="0">
      <alignment horizontal="center" vertical="center" wrapText="1"/>
    </xf>
    <xf numFmtId="0" fontId="78" fillId="4" borderId="17" applyAlignment="1" pivotButton="0" quotePrefix="0" xfId="0">
      <alignment horizontal="left" vertical="center" wrapText="1"/>
    </xf>
    <xf numFmtId="0" fontId="79" fillId="6" borderId="17" applyAlignment="1" pivotButton="0" quotePrefix="0" xfId="0">
      <alignment horizontal="left" vertical="center" wrapText="1"/>
    </xf>
    <xf numFmtId="0" fontId="78" fillId="4" borderId="268" applyAlignment="1" pivotButton="0" quotePrefix="0" xfId="0">
      <alignment horizontal="left" vertical="center" wrapText="1"/>
    </xf>
    <xf numFmtId="0" fontId="78" fillId="8" borderId="17" applyAlignment="1" pivotButton="0" quotePrefix="0" xfId="0">
      <alignment horizontal="left" vertical="center" wrapText="1"/>
    </xf>
    <xf numFmtId="0" fontId="77" fillId="47" borderId="18" applyAlignment="1" pivotButton="0" quotePrefix="0" xfId="0">
      <alignment horizontal="center" vertical="center" wrapText="1"/>
    </xf>
    <xf numFmtId="0" fontId="78" fillId="8" borderId="18" applyAlignment="1" pivotButton="0" quotePrefix="0" xfId="0">
      <alignment horizontal="left" vertical="center" wrapText="1"/>
    </xf>
    <xf numFmtId="0" fontId="79" fillId="6" borderId="18" applyAlignment="1" pivotButton="0" quotePrefix="0" xfId="0">
      <alignment horizontal="left" vertical="center" wrapText="1"/>
    </xf>
    <xf numFmtId="0" fontId="12" fillId="6" borderId="120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6" fillId="4" borderId="130" applyAlignment="1" pivotButton="0" quotePrefix="0" xfId="0">
      <alignment horizontal="center" vertical="bottom"/>
    </xf>
    <xf numFmtId="0" fontId="0" fillId="0" borderId="131" pivotButton="0" quotePrefix="0" xfId="0"/>
    <xf numFmtId="0" fontId="0" fillId="0" borderId="118" pivotButton="0" quotePrefix="0" xfId="0"/>
    <xf numFmtId="0" fontId="80" fillId="7" borderId="130" applyAlignment="1" pivotButton="0" quotePrefix="0" xfId="0">
      <alignment horizontal="left" vertical="center" wrapText="1"/>
    </xf>
    <xf numFmtId="0" fontId="81" fillId="48" borderId="269" applyAlignment="1" pivotButton="0" quotePrefix="0" xfId="0">
      <alignment horizontal="left" vertical="center" wrapText="1"/>
    </xf>
    <xf numFmtId="0" fontId="80" fillId="49" borderId="0" applyAlignment="1" pivotButton="0" quotePrefix="0" xfId="0">
      <alignment horizontal="left" vertical="center" wrapText="1"/>
    </xf>
    <xf numFmtId="0" fontId="4" fillId="50" borderId="269" applyAlignment="1" pivotButton="0" quotePrefix="0" xfId="0">
      <alignment horizontal="center" vertical="center" wrapText="1"/>
    </xf>
    <xf numFmtId="0" fontId="78" fillId="4" borderId="268" applyAlignment="1" pivotButton="0" quotePrefix="0" xfId="0">
      <alignment horizontal="center" vertical="center" wrapText="1"/>
    </xf>
    <xf numFmtId="0" fontId="78" fillId="51" borderId="268" applyAlignment="1" pivotButton="0" quotePrefix="0" xfId="0">
      <alignment horizontal="center" vertical="center" wrapText="1"/>
    </xf>
    <xf numFmtId="0" fontId="78" fillId="51" borderId="268" applyAlignment="1" pivotButton="0" quotePrefix="0" xfId="0">
      <alignment horizontal="left" vertical="center" wrapText="1"/>
    </xf>
    <xf numFmtId="0" fontId="0" fillId="0" borderId="272" pivotButton="0" quotePrefix="0" xfId="0"/>
    <xf numFmtId="0" fontId="0" fillId="0" borderId="273" pivotButton="0" quotePrefix="0" xfId="0"/>
    <xf numFmtId="0" fontId="0" fillId="0" borderId="276" pivotButton="0" quotePrefix="0" xfId="0"/>
    <xf numFmtId="0" fontId="0" fillId="0" borderId="277" pivotButton="0" quotePrefix="0" xfId="0"/>
    <xf numFmtId="0" fontId="9" fillId="4" borderId="1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2" fillId="6" borderId="278" applyAlignment="1" pivotButton="0" quotePrefix="0" xfId="0">
      <alignment horizontal="left" vertical="center" wrapText="1" indent="1"/>
    </xf>
    <xf numFmtId="0" fontId="6" fillId="4" borderId="279" applyAlignment="1" pivotButton="0" quotePrefix="0" xfId="0">
      <alignment horizontal="left" vertical="center" wrapText="1" indent="1"/>
    </xf>
    <xf numFmtId="0" fontId="6" fillId="4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left" vertical="center" wrapText="1" indent="1"/>
    </xf>
    <xf numFmtId="0" fontId="6" fillId="4" borderId="281" applyAlignment="1" pivotButton="0" quotePrefix="0" xfId="0">
      <alignment horizontal="left" vertical="center" wrapText="1" indent="1"/>
    </xf>
    <xf numFmtId="0" fontId="9" fillId="4" borderId="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4" borderId="21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1" fillId="4" borderId="1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11" fillId="4" borderId="21" applyAlignment="1" pivotButton="0" quotePrefix="0" xfId="0">
      <alignment horizontal="center" vertical="center" wrapText="1"/>
    </xf>
    <xf numFmtId="0" fontId="12" fillId="6" borderId="282" applyAlignment="1" pivotButton="0" quotePrefix="0" xfId="0">
      <alignment horizontal="left" vertical="center" wrapText="1" indent="1"/>
    </xf>
    <xf numFmtId="0" fontId="6" fillId="4" borderId="283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center" vertical="center" wrapText="1"/>
    </xf>
    <xf numFmtId="0" fontId="6" fillId="4" borderId="20" applyAlignment="1" pivotButton="0" quotePrefix="0" xfId="0">
      <alignment horizontal="center" vertical="center" wrapText="1"/>
    </xf>
    <xf numFmtId="0" fontId="6" fillId="4" borderId="21" applyAlignment="1" pivotButton="0" quotePrefix="0" xfId="0">
      <alignment horizontal="center" vertical="center" wrapText="1"/>
    </xf>
    <xf numFmtId="0" fontId="13" fillId="7" borderId="19" applyAlignment="1" pivotButton="0" quotePrefix="0" xfId="0">
      <alignment horizontal="left" vertical="center" wrapText="1" indent="1"/>
    </xf>
    <xf numFmtId="0" fontId="13" fillId="7" borderId="20" applyAlignment="1" pivotButton="0" quotePrefix="0" xfId="0">
      <alignment horizontal="left" vertical="center" wrapText="1" indent="1"/>
    </xf>
    <xf numFmtId="0" fontId="13" fillId="7" borderId="21" applyAlignment="1" pivotButton="0" quotePrefix="0" xfId="0">
      <alignment horizontal="left" vertical="center" wrapText="1" indent="1"/>
    </xf>
    <xf numFmtId="0" fontId="12" fillId="6" borderId="19" applyAlignment="1" pivotButton="0" quotePrefix="0" xfId="0">
      <alignment horizontal="left" vertical="center" wrapText="1" indent="1"/>
    </xf>
    <xf numFmtId="0" fontId="12" fillId="6" borderId="21" applyAlignment="1" pivotButton="0" quotePrefix="0" xfId="0">
      <alignment horizontal="left" vertical="center" wrapText="1" indent="1"/>
    </xf>
    <xf numFmtId="0" fontId="6" fillId="4" borderId="19" applyAlignment="1" pivotButton="0" quotePrefix="0" xfId="0">
      <alignment horizontal="left" vertical="center" wrapText="1" indent="1"/>
    </xf>
    <xf numFmtId="0" fontId="6" fillId="4" borderId="20" applyAlignment="1" pivotButton="0" quotePrefix="0" xfId="0">
      <alignment horizontal="left" vertical="center" wrapText="1" indent="1"/>
    </xf>
    <xf numFmtId="0" fontId="6" fillId="4" borderId="21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4" fillId="3" borderId="19" applyAlignment="1" pivotButton="0" quotePrefix="0" xfId="0">
      <alignment horizontal="center" vertical="center" wrapText="1"/>
    </xf>
    <xf numFmtId="0" fontId="4" fillId="3" borderId="284" applyAlignment="1" pivotButton="0" quotePrefix="0" xfId="0">
      <alignment horizontal="center" vertical="center" wrapText="1"/>
    </xf>
    <xf numFmtId="0" fontId="4" fillId="3" borderId="285" applyAlignment="1" pivotButton="0" quotePrefix="0" xfId="0">
      <alignment horizontal="center" vertical="center" wrapText="1"/>
    </xf>
    <xf numFmtId="0" fontId="6" fillId="6" borderId="286" applyAlignment="1" pivotButton="0" quotePrefix="0" xfId="0">
      <alignment horizontal="center" vertical="center" wrapText="1"/>
    </xf>
    <xf numFmtId="0" fontId="6" fillId="4" borderId="287" applyAlignment="1" pivotButton="0" quotePrefix="0" xfId="0">
      <alignment horizontal="left" vertical="center" wrapText="1" indent="1"/>
    </xf>
    <xf numFmtId="164" fontId="6" fillId="4" borderId="287" applyAlignment="1" pivotButton="0" quotePrefix="0" xfId="0">
      <alignment horizontal="left" vertical="center" wrapText="1" indent="1"/>
    </xf>
    <xf numFmtId="0" fontId="6" fillId="8" borderId="287" applyAlignment="1" pivotButton="0" quotePrefix="0" xfId="0">
      <alignment horizontal="left" vertical="center" wrapText="1" indent="1"/>
    </xf>
    <xf numFmtId="164" fontId="6" fillId="8" borderId="287" applyAlignment="1" pivotButton="0" quotePrefix="0" xfId="0">
      <alignment horizontal="left" vertical="center" wrapText="1" indent="1"/>
    </xf>
    <xf numFmtId="0" fontId="6" fillId="8" borderId="281" applyAlignment="1" pivotButton="0" quotePrefix="0" xfId="0">
      <alignment horizontal="left" vertical="center" wrapText="1" indent="1"/>
    </xf>
    <xf numFmtId="0" fontId="6" fillId="6" borderId="288" applyAlignment="1" pivotButton="0" quotePrefix="0" xfId="0">
      <alignment horizontal="center" vertical="center" wrapText="1"/>
    </xf>
    <xf numFmtId="0" fontId="6" fillId="8" borderId="289" applyAlignment="1" pivotButton="0" quotePrefix="0" xfId="0">
      <alignment horizontal="left" vertical="center" wrapText="1" indent="1"/>
    </xf>
    <xf numFmtId="164" fontId="6" fillId="8" borderId="289" applyAlignment="1" pivotButton="0" quotePrefix="0" xfId="0">
      <alignment horizontal="left" vertical="center" wrapText="1" indent="1"/>
    </xf>
    <xf numFmtId="0" fontId="6" fillId="8" borderId="283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center" vertical="center" wrapText="1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1" fillId="4" borderId="130" applyAlignment="1" pivotButton="0" quotePrefix="0" xfId="0">
      <alignment horizontal="center" vertical="center" wrapText="1"/>
    </xf>
    <xf numFmtId="0" fontId="13" fillId="7" borderId="130" applyAlignment="1" pivotButton="0" quotePrefix="0" xfId="0">
      <alignment horizontal="left" vertical="center" wrapText="1" inden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2"/>
    </xf>
    <xf numFmtId="0" fontId="82" fillId="4" borderId="291" pivotButton="0" quotePrefix="0" xfId="0"/>
    <xf numFmtId="0" fontId="82" fillId="0" borderId="292" pivotButton="0" quotePrefix="0" xfId="0"/>
    <xf numFmtId="0" fontId="9" fillId="4" borderId="291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right" vertical="center"/>
    </xf>
    <xf numFmtId="0" fontId="82" fillId="0" borderId="294" pivotButton="0" quotePrefix="0" xfId="0"/>
    <xf numFmtId="0" fontId="82" fillId="0" borderId="295" pivotButton="0" quotePrefix="0" xfId="0"/>
    <xf numFmtId="0" fontId="5" fillId="4" borderId="295" applyAlignment="1" pivotButton="0" quotePrefix="0" xfId="0">
      <alignment horizontal="left" vertical="center" wrapText="1"/>
    </xf>
    <xf numFmtId="0" fontId="82" fillId="0" borderId="296" pivotButton="0" quotePrefix="0" xfId="0"/>
    <xf numFmtId="0" fontId="82" fillId="0" borderId="0" pivotButton="0" quotePrefix="0" xfId="0"/>
    <xf numFmtId="0" fontId="12" fillId="6" borderId="297" applyAlignment="1" pivotButton="0" quotePrefix="0" xfId="0">
      <alignment horizontal="right" vertical="center"/>
    </xf>
    <xf numFmtId="0" fontId="82" fillId="0" borderId="298" pivotButton="0" quotePrefix="0" xfId="0"/>
    <xf numFmtId="0" fontId="82" fillId="0" borderId="299" pivotButton="0" quotePrefix="0" xfId="0"/>
    <xf numFmtId="0" fontId="6" fillId="4" borderId="299" applyAlignment="1" pivotButton="0" quotePrefix="0" xfId="0">
      <alignment horizontal="left" vertical="center" wrapText="1"/>
    </xf>
    <xf numFmtId="0" fontId="82" fillId="0" borderId="300" pivotButton="0" quotePrefix="0" xfId="0"/>
    <xf numFmtId="0" fontId="10" fillId="4" borderId="296" applyAlignment="1" pivotButton="0" quotePrefix="0" xfId="0">
      <alignment horizontal="center" vertical="center"/>
    </xf>
    <xf numFmtId="0" fontId="11" fillId="4" borderId="300" applyAlignment="1" pivotButton="0" quotePrefix="0" xfId="0">
      <alignment horizontal="center" vertical="center"/>
    </xf>
    <xf numFmtId="0" fontId="82" fillId="0" borderId="290" pivotButton="0" quotePrefix="0" xfId="0"/>
    <xf numFmtId="0" fontId="13" fillId="7" borderId="293" applyAlignment="1" pivotButton="0" quotePrefix="0" xfId="0">
      <alignment horizontal="left" vertical="center"/>
    </xf>
    <xf numFmtId="0" fontId="12" fillId="6" borderId="293" applyAlignment="1" pivotButton="0" quotePrefix="0" xfId="0">
      <alignment horizontal="left" vertical="center" wrapText="1"/>
    </xf>
    <xf numFmtId="0" fontId="83" fillId="0" borderId="294" applyAlignment="1" pivotButton="0" quotePrefix="0" xfId="0">
      <alignment horizontal="left" vertical="center" wrapText="1"/>
    </xf>
    <xf numFmtId="0" fontId="83" fillId="0" borderId="295" applyAlignment="1" pivotButton="0" quotePrefix="0" xfId="0">
      <alignment horizontal="left" vertical="center" wrapText="1"/>
    </xf>
    <xf numFmtId="0" fontId="6" fillId="4" borderId="295" applyAlignment="1" pivotButton="0" quotePrefix="0" xfId="0">
      <alignment horizontal="left" vertical="center" wrapText="1"/>
    </xf>
    <xf numFmtId="0" fontId="12" fillId="6" borderId="295" applyAlignment="1" pivotButton="0" quotePrefix="0" xfId="0">
      <alignment horizontal="left" vertical="center" wrapText="1"/>
    </xf>
    <xf numFmtId="0" fontId="12" fillId="6" borderId="297" applyAlignment="1" pivotButton="0" quotePrefix="0" xfId="0">
      <alignment horizontal="left" vertical="center" wrapText="1"/>
    </xf>
    <xf numFmtId="0" fontId="83" fillId="0" borderId="298" applyAlignment="1" pivotButton="0" quotePrefix="0" xfId="0">
      <alignment horizontal="left" vertical="center" wrapText="1"/>
    </xf>
    <xf numFmtId="0" fontId="83" fillId="0" borderId="299" applyAlignment="1" pivotButton="0" quotePrefix="0" xfId="0">
      <alignment horizontal="left" vertical="center" wrapText="1"/>
    </xf>
    <xf numFmtId="0" fontId="12" fillId="6" borderId="299" applyAlignment="1" pivotButton="0" quotePrefix="0" xfId="0">
      <alignment horizontal="left" vertical="center" wrapText="1"/>
    </xf>
    <xf numFmtId="0" fontId="4" fillId="3" borderId="293" applyAlignment="1" pivotButton="0" quotePrefix="0" xfId="0">
      <alignment horizontal="center" vertical="center" wrapText="1"/>
    </xf>
    <xf numFmtId="0" fontId="4" fillId="3" borderId="295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center" vertical="center" wrapText="1"/>
    </xf>
    <xf numFmtId="0" fontId="77" fillId="47" borderId="299" applyAlignment="1" pivotButton="0" quotePrefix="0" xfId="0">
      <alignment horizontal="center" vertical="center" wrapText="1"/>
    </xf>
    <xf numFmtId="0" fontId="78" fillId="4" borderId="299" applyAlignment="1" pivotButton="0" quotePrefix="0" xfId="0">
      <alignment horizontal="left" vertical="center" wrapText="1"/>
    </xf>
    <xf numFmtId="0" fontId="79" fillId="6" borderId="299" applyAlignment="1" pivotButton="0" quotePrefix="0" xfId="0">
      <alignment horizontal="left" vertical="center" wrapText="1"/>
    </xf>
    <xf numFmtId="0" fontId="78" fillId="4" borderId="293" applyAlignment="1" pivotButton="0" quotePrefix="0" xfId="0">
      <alignment horizontal="left" vertical="center" wrapText="1"/>
    </xf>
    <xf numFmtId="0" fontId="78" fillId="8" borderId="299" applyAlignment="1" pivotButton="0" quotePrefix="0" xfId="0">
      <alignment horizontal="left" vertical="center" wrapText="1"/>
    </xf>
    <xf numFmtId="0" fontId="12" fillId="6" borderId="297" applyAlignment="1" pivotButton="0" quotePrefix="0" xfId="0">
      <alignment horizontal="center" vertical="center"/>
    </xf>
    <xf numFmtId="0" fontId="12" fillId="6" borderId="291" applyAlignment="1" pivotButton="0" quotePrefix="0" xfId="0">
      <alignment horizontal="center" vertical="center" wrapText="1"/>
    </xf>
    <xf numFmtId="0" fontId="12" fillId="6" borderId="294" applyAlignment="1" pivotButton="0" quotePrefix="0" xfId="0">
      <alignment horizontal="center" vertical="center" wrapText="1"/>
    </xf>
    <xf numFmtId="0" fontId="12" fillId="6" borderId="295" applyAlignment="1" pivotButton="0" quotePrefix="0" xfId="0">
      <alignment horizontal="center" vertical="center" wrapText="1"/>
    </xf>
    <xf numFmtId="0" fontId="16" fillId="4" borderId="293" applyAlignment="1" pivotButton="0" quotePrefix="0" xfId="0">
      <alignment horizontal="center" vertical="bottom"/>
    </xf>
    <xf numFmtId="0" fontId="82" fillId="0" borderId="301" pivotButton="0" quotePrefix="0" xfId="0"/>
    <xf numFmtId="0" fontId="83" fillId="0" borderId="296" applyAlignment="1" pivotButton="0" quotePrefix="0" xfId="0">
      <alignment horizontal="left" vertical="center" wrapText="1"/>
    </xf>
    <xf numFmtId="0" fontId="83" fillId="0" borderId="0" applyAlignment="1" pivotButton="0" quotePrefix="0" xfId="0">
      <alignment horizontal="left" vertical="center" wrapText="1"/>
    </xf>
    <xf numFmtId="0" fontId="83" fillId="0" borderId="302" applyAlignment="1" pivotButton="0" quotePrefix="0" xfId="0">
      <alignment horizontal="left" vertical="center" wrapText="1"/>
    </xf>
    <xf numFmtId="0" fontId="83" fillId="0" borderId="300" applyAlignment="1" pivotButton="0" quotePrefix="0" xfId="0">
      <alignment horizontal="left" vertical="center" wrapText="1"/>
    </xf>
    <xf numFmtId="0" fontId="80" fillId="7" borderId="293" applyAlignment="1" pivotButton="0" quotePrefix="0" xfId="0">
      <alignment horizontal="left" vertical="center" wrapText="1"/>
    </xf>
    <xf numFmtId="0" fontId="6" fillId="4" borderId="293" applyAlignment="1" pivotButton="0" quotePrefix="0" xfId="0">
      <alignment horizontal="center" vertical="center" wrapText="1"/>
    </xf>
    <xf numFmtId="0" fontId="9" fillId="4" borderId="293" applyAlignment="1" pivotButton="0" quotePrefix="0" xfId="0">
      <alignment horizontal="center" vertical="center" wrapText="1"/>
    </xf>
    <xf numFmtId="0" fontId="12" fillId="6" borderId="303" applyAlignment="1" pivotButton="0" quotePrefix="0" xfId="0">
      <alignment horizontal="left" vertical="center" wrapText="1" indent="1"/>
    </xf>
    <xf numFmtId="0" fontId="6" fillId="4" borderId="303" applyAlignment="1" pivotButton="0" quotePrefix="0" xfId="0">
      <alignment horizontal="left" vertical="center" wrapText="1" indent="1"/>
    </xf>
    <xf numFmtId="0" fontId="82" fillId="0" borderId="302" pivotButton="0" quotePrefix="0" xfId="0"/>
    <xf numFmtId="0" fontId="10" fillId="4" borderId="293" applyAlignment="1" pivotButton="0" quotePrefix="0" xfId="0">
      <alignment horizontal="center" vertical="center" wrapText="1"/>
    </xf>
    <xf numFmtId="0" fontId="11" fillId="4" borderId="293" applyAlignment="1" pivotButton="0" quotePrefix="0" xfId="0">
      <alignment horizontal="center" vertical="center" wrapText="1"/>
    </xf>
    <xf numFmtId="0" fontId="12" fillId="6" borderId="293" applyAlignment="1" pivotButton="0" quotePrefix="0" xfId="0">
      <alignment horizontal="left" vertical="center" wrapText="1" indent="1"/>
    </xf>
    <xf numFmtId="0" fontId="6" fillId="4" borderId="293" applyAlignment="1" pivotButton="0" quotePrefix="0" xfId="0">
      <alignment horizontal="left" vertical="center" wrapText="1" indent="1"/>
    </xf>
    <xf numFmtId="0" fontId="6" fillId="0" borderId="290" applyAlignment="1" pivotButton="0" quotePrefix="0" xfId="0">
      <alignment horizontal="center" vertical="center" wrapText="1"/>
    </xf>
    <xf numFmtId="0" fontId="13" fillId="7" borderId="293" applyAlignment="1" pivotButton="0" quotePrefix="0" xfId="0">
      <alignment horizontal="left" vertical="center" wrapText="1" indent="1"/>
    </xf>
    <xf numFmtId="0" fontId="17" fillId="7" borderId="293" applyAlignment="1" pivotButton="0" quotePrefix="0" xfId="0">
      <alignment horizontal="left" vertical="center" wrapText="1" indent="2"/>
    </xf>
    <xf numFmtId="0" fontId="4" fillId="3" borderId="291" applyAlignment="1" pivotButton="0" quotePrefix="0" xfId="0">
      <alignment horizontal="center" vertical="center" wrapText="1"/>
    </xf>
    <xf numFmtId="0" fontId="6" fillId="6" borderId="304" applyAlignment="1" pivotButton="0" quotePrefix="0" xfId="0">
      <alignment horizontal="center" vertical="center" wrapText="1"/>
    </xf>
    <xf numFmtId="0" fontId="6" fillId="4" borderId="304" applyAlignment="1" pivotButton="0" quotePrefix="0" xfId="0">
      <alignment horizontal="left" vertical="center" wrapText="1" indent="1"/>
    </xf>
    <xf numFmtId="164" fontId="6" fillId="4" borderId="304" applyAlignment="1" pivotButton="0" quotePrefix="0" xfId="0">
      <alignment horizontal="left" vertical="center" wrapText="1" indent="1"/>
    </xf>
    <xf numFmtId="0" fontId="6" fillId="8" borderId="304" applyAlignment="1" pivotButton="0" quotePrefix="0" xfId="0">
      <alignment horizontal="left" vertical="center" wrapText="1" indent="1"/>
    </xf>
    <xf numFmtId="164" fontId="6" fillId="8" borderId="304" applyAlignment="1" pivotButton="0" quotePrefix="0" xfId="0">
      <alignment horizontal="left" vertical="center" wrapText="1" indent="1"/>
    </xf>
    <xf numFmtId="0" fontId="6" fillId="8" borderId="303" applyAlignment="1" pivotButton="0" quotePrefix="0" xfId="0">
      <alignment horizontal="left" vertical="center" wrapText="1" indent="1"/>
    </xf>
    <xf numFmtId="0" fontId="6" fillId="6" borderId="291" applyAlignment="1" pivotButton="0" quotePrefix="0" xfId="0">
      <alignment horizontal="center" vertical="center" wrapText="1"/>
    </xf>
    <xf numFmtId="0" fontId="6" fillId="8" borderId="291" applyAlignment="1" pivotButton="0" quotePrefix="0" xfId="0">
      <alignment horizontal="left" vertical="center" wrapText="1" indent="1"/>
    </xf>
    <xf numFmtId="164" fontId="6" fillId="8" borderId="291" applyAlignment="1" pivotButton="0" quotePrefix="0" xfId="0">
      <alignment horizontal="left" vertical="center" wrapText="1" indent="1"/>
    </xf>
    <xf numFmtId="0" fontId="6" fillId="8" borderId="293" applyAlignment="1" pivotButton="0" quotePrefix="0" xfId="0">
      <alignment horizontal="left" vertical="center" wrapText="1" indent="1"/>
    </xf>
    <xf numFmtId="0" fontId="81" fillId="48" borderId="293" applyAlignment="1" pivotButton="0" quotePrefix="0" xfId="0">
      <alignment horizontal="left" vertical="center" wrapText="1"/>
    </xf>
    <xf numFmtId="0" fontId="4" fillId="50" borderId="293" applyAlignment="1" pivotButton="0" quotePrefix="0" xfId="0">
      <alignment horizontal="center" vertical="center" wrapText="1"/>
    </xf>
    <xf numFmtId="0" fontId="78" fillId="51" borderId="293" applyAlignment="1" pivotButton="0" quotePrefix="0" xfId="0">
      <alignment horizontal="left" vertical="center" wrapText="1"/>
    </xf>
    <xf numFmtId="0" fontId="82" fillId="0" borderId="305" pivotButton="0" quotePrefix="0" xfId="0"/>
    <xf numFmtId="0" fontId="82" fillId="0" borderId="311" pivotButton="0" quotePrefix="0" xfId="0"/>
    <xf numFmtId="0" fontId="82" fillId="0" borderId="307" pivotButton="0" quotePrefix="0" xfId="0"/>
    <xf numFmtId="0" fontId="82" fillId="0" borderId="312" pivotButton="0" quotePrefix="0" xfId="0"/>
    <xf numFmtId="0" fontId="82" fillId="0" borderId="309" pivotButton="0" quotePrefix="0" xfId="0"/>
    <xf numFmtId="0" fontId="82" fillId="0" borderId="310" pivotButton="0" quotePrefix="0" xfId="0"/>
    <xf numFmtId="0" fontId="82" fillId="0" borderId="313" pivotButton="0" quotePrefix="0" xfId="0"/>
    <xf numFmtId="0" fontId="83" fillId="0" borderId="311" applyAlignment="1" pivotButton="0" quotePrefix="0" xfId="0">
      <alignment horizontal="left" vertical="center" wrapText="1"/>
    </xf>
    <xf numFmtId="0" fontId="83" fillId="0" borderId="307" applyAlignment="1" pivotButton="0" quotePrefix="0" xfId="0">
      <alignment horizontal="left" vertical="center" wrapText="1"/>
    </xf>
    <xf numFmtId="0" fontId="83" fillId="0" borderId="309" applyAlignment="1" pivotButton="0" quotePrefix="0" xfId="0">
      <alignment horizontal="left" vertical="center" wrapText="1"/>
    </xf>
    <xf numFmtId="0" fontId="83" fillId="0" borderId="310" applyAlignment="1" pivotButton="0" quotePrefix="0" xfId="0">
      <alignment horizontal="left" vertical="center" wrapText="1"/>
    </xf>
    <xf numFmtId="0" fontId="82" fillId="0" borderId="306" pivotButton="0" quotePrefix="0" xfId="0"/>
    <xf numFmtId="0" fontId="83" fillId="0" borderId="312" applyAlignment="1" pivotButton="0" quotePrefix="0" xfId="0">
      <alignment horizontal="left" vertical="center" wrapText="1"/>
    </xf>
    <xf numFmtId="0" fontId="83" fillId="0" borderId="308" applyAlignment="1" pivotButton="0" quotePrefix="0" xfId="0">
      <alignment horizontal="left" vertical="center" wrapText="1"/>
    </xf>
    <xf numFmtId="0" fontId="83" fillId="0" borderId="313" applyAlignment="1" pivotButton="0" quotePrefix="0" xfId="0">
      <alignment horizontal="left" vertical="center" wrapText="1"/>
    </xf>
    <xf numFmtId="0" fontId="82" fillId="0" borderId="308" pivotButton="0" quotePrefix="0" xfId="0"/>
    <xf numFmtId="0" fontId="0" fillId="0" borderId="290" pivotButton="0" quotePrefix="0" xfId="0"/>
    <xf numFmtId="0" fontId="0" fillId="0" borderId="305" pivotButton="0" quotePrefix="0" xfId="0"/>
    <xf numFmtId="0" fontId="0" fillId="0" borderId="311" pivotButton="0" quotePrefix="0" xfId="0"/>
    <xf numFmtId="0" fontId="0" fillId="0" borderId="307" pivotButton="0" quotePrefix="0" xfId="0"/>
    <xf numFmtId="0" fontId="0" fillId="0" borderId="312" pivotButton="0" quotePrefix="0" xfId="0"/>
    <xf numFmtId="0" fontId="0" fillId="0" borderId="309" pivotButton="0" quotePrefix="0" xfId="0"/>
    <xf numFmtId="0" fontId="0" fillId="0" borderId="310" pivotButton="0" quotePrefix="0" xfId="0"/>
    <xf numFmtId="0" fontId="0" fillId="0" borderId="313" pivotButton="0" quotePrefix="0" xfId="0"/>
    <xf numFmtId="0" fontId="0" fillId="0" borderId="306" pivotButton="0" quotePrefix="0" xfId="0"/>
    <xf numFmtId="0" fontId="0" fillId="0" borderId="308" pivotButton="0" quotePrefix="0" xfId="0"/>
    <xf numFmtId="0" fontId="82" fillId="4" borderId="314" pivotButton="0" quotePrefix="0" xfId="0"/>
    <xf numFmtId="0" fontId="0" fillId="4" borderId="315" pivotButton="0" quotePrefix="0" xfId="0"/>
    <xf numFmtId="0" fontId="0" fillId="4" borderId="316" pivotButton="0" quotePrefix="0" xfId="0"/>
    <xf numFmtId="0" fontId="84" fillId="4" borderId="314" applyAlignment="1" pivotButton="0" quotePrefix="0" xfId="0">
      <alignment horizontal="center" vertical="center" wrapText="1"/>
    </xf>
    <xf numFmtId="0" fontId="84" fillId="4" borderId="315" applyAlignment="1" pivotButton="0" quotePrefix="0" xfId="0">
      <alignment horizontal="center" vertical="center" wrapText="1"/>
    </xf>
    <xf numFmtId="0" fontId="84" fillId="4" borderId="316" applyAlignment="1" pivotButton="0" quotePrefix="0" xfId="0">
      <alignment horizontal="center" vertical="center" wrapText="1"/>
    </xf>
    <xf numFmtId="0" fontId="85" fillId="53" borderId="314" applyAlignment="1" pivotButton="0" quotePrefix="0" xfId="0">
      <alignment horizontal="right" vertical="center" wrapText="1"/>
    </xf>
    <xf numFmtId="0" fontId="85" fillId="53" borderId="315" applyAlignment="1" pivotButton="0" quotePrefix="0" xfId="0">
      <alignment horizontal="right" vertical="center" wrapText="1"/>
    </xf>
    <xf numFmtId="0" fontId="85" fillId="53" borderId="317" applyAlignment="1" pivotButton="0" quotePrefix="0" xfId="0">
      <alignment horizontal="right" vertical="center" wrapText="1"/>
    </xf>
    <xf numFmtId="0" fontId="51" fillId="4" borderId="318" applyAlignment="1" pivotButton="0" quotePrefix="0" xfId="0">
      <alignment horizontal="left" vertical="center" wrapText="1"/>
    </xf>
    <xf numFmtId="0" fontId="51" fillId="4" borderId="315" applyAlignment="1" pivotButton="0" quotePrefix="0" xfId="0">
      <alignment horizontal="left" vertical="center" wrapText="1"/>
    </xf>
    <xf numFmtId="0" fontId="51" fillId="4" borderId="316" applyAlignment="1" pivotButton="0" quotePrefix="0" xfId="0">
      <alignment horizontal="left" vertical="center" wrapText="1"/>
    </xf>
    <xf numFmtId="0" fontId="0" fillId="4" borderId="319" pivotButton="0" quotePrefix="0" xfId="0"/>
    <xf numFmtId="0" fontId="0" fillId="4" borderId="320" pivotButton="0" quotePrefix="0" xfId="0"/>
    <xf numFmtId="0" fontId="84" fillId="4" borderId="319" applyAlignment="1" pivotButton="0" quotePrefix="0" xfId="0">
      <alignment horizontal="center" vertical="center" wrapText="1"/>
    </xf>
    <xf numFmtId="0" fontId="84" fillId="4" borderId="1" applyAlignment="1" pivotButton="0" quotePrefix="0" xfId="0">
      <alignment horizontal="center" vertical="center" wrapText="1"/>
    </xf>
    <xf numFmtId="0" fontId="84" fillId="4" borderId="320" applyAlignment="1" pivotButton="0" quotePrefix="0" xfId="0">
      <alignment horizontal="center" vertical="center" wrapText="1"/>
    </xf>
    <xf numFmtId="0" fontId="85" fillId="53" borderId="321" applyAlignment="1" pivotButton="0" quotePrefix="0" xfId="0">
      <alignment horizontal="right" vertical="center" wrapText="1"/>
    </xf>
    <xf numFmtId="0" fontId="85" fillId="53" borderId="292" applyAlignment="1" pivotButton="0" quotePrefix="0" xfId="0">
      <alignment horizontal="right" vertical="center" wrapText="1"/>
    </xf>
    <xf numFmtId="0" fontId="85" fillId="53" borderId="301" applyAlignment="1" pivotButton="0" quotePrefix="0" xfId="0">
      <alignment horizontal="righ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292" applyAlignment="1" pivotButton="0" quotePrefix="0" xfId="0">
      <alignment horizontal="left" vertical="center" wrapText="1"/>
    </xf>
    <xf numFmtId="0" fontId="51" fillId="4" borderId="322" applyAlignment="1" pivotButton="0" quotePrefix="0" xfId="0">
      <alignment horizontal="left" vertical="center" wrapText="1"/>
    </xf>
    <xf numFmtId="0" fontId="86" fillId="4" borderId="319" applyAlignment="1" pivotButton="0" quotePrefix="0" xfId="0">
      <alignment horizontal="center" vertical="center"/>
    </xf>
    <xf numFmtId="0" fontId="86" fillId="4" borderId="1" applyAlignment="1" pivotButton="0" quotePrefix="0" xfId="0">
      <alignment horizontal="center" vertical="center"/>
    </xf>
    <xf numFmtId="0" fontId="86" fillId="4" borderId="320" applyAlignment="1" pivotButton="0" quotePrefix="0" xfId="0">
      <alignment horizontal="center" vertical="center"/>
    </xf>
    <xf numFmtId="0" fontId="0" fillId="4" borderId="323" pivotButton="0" quotePrefix="0" xfId="0"/>
    <xf numFmtId="0" fontId="0" fillId="4" borderId="324" pivotButton="0" quotePrefix="0" xfId="0"/>
    <xf numFmtId="0" fontId="0" fillId="4" borderId="325" pivotButton="0" quotePrefix="0" xfId="0"/>
    <xf numFmtId="0" fontId="87" fillId="4" borderId="323" applyAlignment="1" pivotButton="0" quotePrefix="0" xfId="0">
      <alignment horizontal="center" vertical="center"/>
    </xf>
    <xf numFmtId="0" fontId="87" fillId="4" borderId="324" applyAlignment="1" pivotButton="0" quotePrefix="0" xfId="0">
      <alignment horizontal="center" vertical="center"/>
    </xf>
    <xf numFmtId="0" fontId="87" fillId="4" borderId="325" applyAlignment="1" pivotButton="0" quotePrefix="0" xfId="0">
      <alignment horizontal="center" vertical="center"/>
    </xf>
    <xf numFmtId="0" fontId="85" fillId="53" borderId="326" applyAlignment="1" pivotButton="0" quotePrefix="0" xfId="0">
      <alignment horizontal="right" vertical="center" wrapText="1"/>
    </xf>
    <xf numFmtId="0" fontId="85" fillId="53" borderId="327" applyAlignment="1" pivotButton="0" quotePrefix="0" xfId="0">
      <alignment horizontal="right" vertical="center" wrapText="1"/>
    </xf>
    <xf numFmtId="0" fontId="85" fillId="53" borderId="328" applyAlignment="1" pivotButton="0" quotePrefix="0" xfId="0">
      <alignment horizontal="right" vertical="center" wrapText="1"/>
    </xf>
    <xf numFmtId="0" fontId="51" fillId="4" borderId="329" applyAlignment="1" pivotButton="0" quotePrefix="0" xfId="0">
      <alignment horizontal="left" vertical="center" wrapText="1"/>
    </xf>
    <xf numFmtId="0" fontId="51" fillId="4" borderId="327" applyAlignment="1" pivotButton="0" quotePrefix="0" xfId="0">
      <alignment horizontal="left" vertical="center" wrapText="1"/>
    </xf>
    <xf numFmtId="0" fontId="51" fillId="4" borderId="330" applyAlignment="1" pivotButton="0" quotePrefix="0" xfId="0">
      <alignment horizontal="left" vertical="center" wrapText="1"/>
    </xf>
    <xf numFmtId="0" fontId="82" fillId="52" borderId="290" pivotButton="0" quotePrefix="0" xfId="0"/>
    <xf numFmtId="0" fontId="4" fillId="54" borderId="331" applyAlignment="1" pivotButton="0" quotePrefix="0" xfId="0">
      <alignment horizontal="left" vertical="center" wrapText="1"/>
    </xf>
    <xf numFmtId="0" fontId="4" fillId="54" borderId="332" applyAlignment="1" pivotButton="0" quotePrefix="0" xfId="0">
      <alignment horizontal="left" vertical="center" wrapText="1"/>
    </xf>
    <xf numFmtId="0" fontId="4" fillId="54" borderId="333" applyAlignment="1" pivotButton="0" quotePrefix="0" xfId="0">
      <alignment horizontal="left" vertical="center" wrapText="1"/>
    </xf>
    <xf numFmtId="0" fontId="85" fillId="55" borderId="334" applyAlignment="1" pivotButton="0" quotePrefix="0" xfId="0">
      <alignment horizontal="left" vertical="center" wrapText="1"/>
    </xf>
    <xf numFmtId="0" fontId="82" fillId="0" borderId="335" pivotButton="0" quotePrefix="0" xfId="0"/>
    <xf numFmtId="0" fontId="6" fillId="4" borderId="336" applyAlignment="1" pivotButton="0" quotePrefix="0" xfId="0">
      <alignment horizontal="left" vertical="center" wrapText="1"/>
    </xf>
    <xf numFmtId="0" fontId="85" fillId="55" borderId="336" applyAlignment="1" pivotButton="0" quotePrefix="0" xfId="0">
      <alignment horizontal="left" vertical="center" wrapText="1"/>
    </xf>
    <xf numFmtId="0" fontId="82" fillId="0" borderId="337" pivotButton="0" quotePrefix="0" xfId="0"/>
    <xf numFmtId="0" fontId="85" fillId="55" borderId="338" applyAlignment="1" pivotButton="0" quotePrefix="0" xfId="0">
      <alignment horizontal="left" vertical="center" wrapText="1"/>
    </xf>
    <xf numFmtId="0" fontId="6" fillId="4" borderId="291" applyAlignment="1" pivotButton="0" quotePrefix="0" xfId="0">
      <alignment horizontal="left" vertical="center" wrapText="1"/>
    </xf>
    <xf numFmtId="0" fontId="85" fillId="55" borderId="291" applyAlignment="1" pivotButton="0" quotePrefix="0" xfId="0">
      <alignment horizontal="left" vertical="center" wrapText="1"/>
    </xf>
    <xf numFmtId="0" fontId="82" fillId="0" borderId="339" pivotButton="0" quotePrefix="0" xfId="0"/>
    <xf numFmtId="0" fontId="85" fillId="55" borderId="326" applyAlignment="1" pivotButton="0" quotePrefix="0" xfId="0">
      <alignment horizontal="left" vertical="center" wrapText="1"/>
    </xf>
    <xf numFmtId="0" fontId="82" fillId="0" borderId="327" pivotButton="0" quotePrefix="0" xfId="0"/>
    <xf numFmtId="0" fontId="6" fillId="4" borderId="329" applyAlignment="1" pivotButton="0" quotePrefix="0" xfId="0">
      <alignment horizontal="left" vertical="center" wrapText="1"/>
    </xf>
    <xf numFmtId="0" fontId="85" fillId="55" borderId="329" applyAlignment="1" pivotButton="0" quotePrefix="0" xfId="0">
      <alignment horizontal="left" vertical="center" wrapText="1"/>
    </xf>
    <xf numFmtId="0" fontId="82" fillId="0" borderId="330" pivotButton="0" quotePrefix="0" xfId="0"/>
    <xf numFmtId="0" fontId="4" fillId="56" borderId="331" applyAlignment="1" pivotButton="0" quotePrefix="0" xfId="0">
      <alignment horizontal="center" vertical="center" wrapText="1"/>
    </xf>
    <xf numFmtId="0" fontId="4" fillId="56" borderId="332" applyAlignment="1" pivotButton="0" quotePrefix="0" xfId="0">
      <alignment horizontal="center" vertical="center" wrapText="1"/>
    </xf>
    <xf numFmtId="0" fontId="4" fillId="56" borderId="340" applyAlignment="1" pivotButton="0" quotePrefix="0" xfId="0">
      <alignment horizontal="center" vertical="center" wrapText="1"/>
    </xf>
    <xf numFmtId="0" fontId="4" fillId="56" borderId="333" applyAlignment="1" pivotButton="0" quotePrefix="0" xfId="0">
      <alignment horizontal="center" vertical="center" wrapText="1"/>
    </xf>
    <xf numFmtId="0" fontId="85" fillId="55" borderId="334" applyAlignment="1" pivotButton="0" quotePrefix="0" xfId="0">
      <alignment horizontal="center" vertical="center" wrapText="1"/>
    </xf>
    <xf numFmtId="0" fontId="77" fillId="47" borderId="336" applyAlignment="1" pivotButton="0" quotePrefix="0" xfId="0">
      <alignment horizontal="center" vertical="center" wrapText="1"/>
    </xf>
    <xf numFmtId="0" fontId="78" fillId="4" borderId="336" applyAlignment="1" pivotButton="0" quotePrefix="0" xfId="0">
      <alignment horizontal="left" vertical="center" wrapText="1"/>
    </xf>
    <xf numFmtId="0" fontId="79" fillId="55" borderId="336" applyAlignment="1" pivotButton="0" quotePrefix="0" xfId="0">
      <alignment horizontal="left" vertical="center" wrapText="1"/>
    </xf>
    <xf numFmtId="0" fontId="85" fillId="55" borderId="338" applyAlignment="1" pivotButton="0" quotePrefix="0" xfId="0">
      <alignment horizontal="center" vertical="center" wrapText="1"/>
    </xf>
    <xf numFmtId="0" fontId="77" fillId="47" borderId="291" applyAlignment="1" pivotButton="0" quotePrefix="0" xfId="0">
      <alignment horizontal="center" vertical="center" wrapText="1"/>
    </xf>
    <xf numFmtId="0" fontId="78" fillId="8" borderId="291" applyAlignment="1" pivotButton="0" quotePrefix="0" xfId="0">
      <alignment horizontal="left" vertical="center" wrapText="1"/>
    </xf>
    <xf numFmtId="0" fontId="79" fillId="55" borderId="291" applyAlignment="1" pivotButton="0" quotePrefix="0" xfId="0">
      <alignment horizontal="left" vertical="center" wrapText="1"/>
    </xf>
    <xf numFmtId="0" fontId="78" fillId="4" borderId="291" applyAlignment="1" pivotButton="0" quotePrefix="0" xfId="0">
      <alignment horizontal="left" vertical="center" wrapText="1"/>
    </xf>
    <xf numFmtId="0" fontId="85" fillId="55" borderId="326" applyAlignment="1" pivotButton="0" quotePrefix="0" xfId="0">
      <alignment horizontal="center" vertical="center" wrapText="1"/>
    </xf>
    <xf numFmtId="0" fontId="77" fillId="47" borderId="329" applyAlignment="1" pivotButton="0" quotePrefix="0" xfId="0">
      <alignment horizontal="center" vertical="center" wrapText="1"/>
    </xf>
    <xf numFmtId="0" fontId="78" fillId="8" borderId="329" applyAlignment="1" pivotButton="0" quotePrefix="0" xfId="0">
      <alignment horizontal="left" vertical="center" wrapText="1"/>
    </xf>
    <xf numFmtId="0" fontId="79" fillId="55" borderId="329" applyAlignment="1" pivotButton="0" quotePrefix="0" xfId="0">
      <alignment horizontal="left" vertical="center" wrapText="1"/>
    </xf>
    <xf numFmtId="0" fontId="78" fillId="4" borderId="329" applyAlignment="1" pivotButton="0" quotePrefix="0" xfId="0">
      <alignment horizontal="left" vertical="center" wrapText="1"/>
    </xf>
    <xf numFmtId="0" fontId="85" fillId="55" borderId="334" applyAlignment="1" pivotButton="0" quotePrefix="0" xfId="0">
      <alignment horizontal="center" vertical="center"/>
    </xf>
    <xf numFmtId="0" fontId="85" fillId="55" borderId="338" applyAlignment="1" pivotButton="0" quotePrefix="0" xfId="0">
      <alignment horizontal="center" vertical="center"/>
    </xf>
    <xf numFmtId="0" fontId="85" fillId="55" borderId="326" applyAlignment="1" pivotButton="0" quotePrefix="0" xfId="0">
      <alignment horizontal="center" vertical="center"/>
    </xf>
    <xf numFmtId="0" fontId="85" fillId="55" borderId="336" applyAlignment="1" pivotButton="0" quotePrefix="0" xfId="0">
      <alignment horizontal="center" vertical="center" wrapText="1"/>
    </xf>
    <xf numFmtId="0" fontId="88" fillId="4" borderId="338" applyAlignment="1" pivotButton="0" quotePrefix="0" xfId="0">
      <alignment horizontal="center" vertical="bottom"/>
    </xf>
    <xf numFmtId="0" fontId="88" fillId="4" borderId="291" applyAlignment="1" pivotButton="0" quotePrefix="0" xfId="0">
      <alignment horizontal="center" vertical="bottom"/>
    </xf>
    <xf numFmtId="0" fontId="82" fillId="0" borderId="338" pivotButton="0" quotePrefix="0" xfId="0"/>
    <xf numFmtId="0" fontId="82" fillId="0" borderId="291" pivotButton="0" quotePrefix="0" xfId="0"/>
    <xf numFmtId="0" fontId="82" fillId="0" borderId="326" pivotButton="0" quotePrefix="0" xfId="0"/>
    <xf numFmtId="0" fontId="82" fillId="0" borderId="329" pivotButton="0" quotePrefix="0" xfId="0"/>
    <xf numFmtId="0" fontId="82" fillId="0" borderId="334" pivotButton="0" quotePrefix="0" xfId="0"/>
    <xf numFmtId="0" fontId="6" fillId="4" borderId="314" applyAlignment="1" pivotButton="0" quotePrefix="0" xfId="0">
      <alignment horizontal="center" vertical="center" wrapText="1"/>
    </xf>
    <xf numFmtId="0" fontId="9" fillId="4" borderId="315" applyAlignment="1" pivotButton="0" quotePrefix="0" xfId="0">
      <alignment horizontal="center" vertical="center" wrapText="1"/>
    </xf>
    <xf numFmtId="0" fontId="12" fillId="4" borderId="316" applyAlignment="1" pivotButton="0" quotePrefix="0" xfId="0">
      <alignment horizontal="left" vertical="center" wrapText="1" indent="1"/>
    </xf>
    <xf numFmtId="0" fontId="12" fillId="4" borderId="320" applyAlignment="1" pivotButton="0" quotePrefix="0" xfId="0">
      <alignment horizontal="left" vertical="center" wrapText="1" indent="1"/>
    </xf>
    <xf numFmtId="0" fontId="10" fillId="4" borderId="1" applyAlignment="1" pivotButton="0" quotePrefix="0" xfId="0">
      <alignment horizontal="center" vertical="center" wrapText="1"/>
    </xf>
    <xf numFmtId="0" fontId="11" fillId="4" borderId="324" applyAlignment="1" pivotButton="0" quotePrefix="0" xfId="0">
      <alignment horizontal="center" vertical="center" wrapText="1"/>
    </xf>
    <xf numFmtId="0" fontId="12" fillId="4" borderId="325" applyAlignment="1" pivotButton="0" quotePrefix="0" xfId="0">
      <alignment horizontal="left" vertical="center" wrapText="1" indent="1"/>
    </xf>
    <xf numFmtId="0" fontId="6" fillId="52" borderId="290" applyAlignment="1" pivotButton="0" quotePrefix="0" xfId="0">
      <alignment horizontal="center" vertical="center" wrapText="1"/>
    </xf>
    <xf numFmtId="0" fontId="85" fillId="55" borderId="334" applyAlignment="1" pivotButton="0" quotePrefix="0" xfId="0">
      <alignment horizontal="left" vertical="center" wrapText="1" indent="1"/>
    </xf>
    <xf numFmtId="0" fontId="6" fillId="4" borderId="336" applyAlignment="1" pivotButton="0" quotePrefix="0" xfId="0">
      <alignment horizontal="left" vertical="center" wrapText="1" indent="1"/>
    </xf>
    <xf numFmtId="0" fontId="85" fillId="55" borderId="336" applyAlignment="1" pivotButton="0" quotePrefix="0" xfId="0">
      <alignment horizontal="left" vertical="center" wrapText="1" indent="1"/>
    </xf>
    <xf numFmtId="0" fontId="83" fillId="0" borderId="336" applyAlignment="1" pivotButton="0" quotePrefix="0" xfId="0">
      <alignment horizontal="left" vertical="center" wrapText="1"/>
    </xf>
    <xf numFmtId="0" fontId="83" fillId="0" borderId="335" applyAlignment="1" pivotButton="0" quotePrefix="0" xfId="0">
      <alignment horizontal="left" vertical="center" wrapText="1"/>
    </xf>
    <xf numFmtId="0" fontId="83" fillId="0" borderId="337" applyAlignment="1" pivotButton="0" quotePrefix="0" xfId="0">
      <alignment horizontal="left" vertical="center" wrapText="1"/>
    </xf>
    <xf numFmtId="0" fontId="85" fillId="55" borderId="338" applyAlignment="1" pivotButton="0" quotePrefix="0" xfId="0">
      <alignment horizontal="left" vertical="center" wrapText="1" indent="1"/>
    </xf>
    <xf numFmtId="0" fontId="6" fillId="4" borderId="291" applyAlignment="1" pivotButton="0" quotePrefix="0" xfId="0">
      <alignment horizontal="left" vertical="center" wrapText="1" indent="1"/>
    </xf>
    <xf numFmtId="0" fontId="85" fillId="55" borderId="291" applyAlignment="1" pivotButton="0" quotePrefix="0" xfId="0">
      <alignment horizontal="left" vertical="center" wrapText="1" indent="1"/>
    </xf>
    <xf numFmtId="0" fontId="83" fillId="0" borderId="291" applyAlignment="1" pivotButton="0" quotePrefix="0" xfId="0">
      <alignment horizontal="left" vertical="center" wrapText="1"/>
    </xf>
    <xf numFmtId="0" fontId="83" fillId="0" borderId="339" applyAlignment="1" pivotButton="0" quotePrefix="0" xfId="0">
      <alignment horizontal="left" vertical="center" wrapText="1"/>
    </xf>
    <xf numFmtId="0" fontId="85" fillId="55" borderId="326" applyAlignment="1" pivotButton="0" quotePrefix="0" xfId="0">
      <alignment horizontal="left" vertical="center" wrapText="1" indent="1"/>
    </xf>
    <xf numFmtId="0" fontId="6" fillId="4" borderId="329" applyAlignment="1" pivotButton="0" quotePrefix="0" xfId="0">
      <alignment horizontal="left" vertical="center" wrapText="1" indent="1"/>
    </xf>
    <xf numFmtId="0" fontId="85" fillId="55" borderId="329" applyAlignment="1" pivotButton="0" quotePrefix="0" xfId="0">
      <alignment horizontal="left" vertical="center" wrapText="1" indent="1"/>
    </xf>
    <xf numFmtId="0" fontId="83" fillId="0" borderId="329" applyAlignment="1" pivotButton="0" quotePrefix="0" xfId="0">
      <alignment horizontal="left" vertical="center" wrapText="1"/>
    </xf>
    <xf numFmtId="0" fontId="83" fillId="0" borderId="327" applyAlignment="1" pivotButton="0" quotePrefix="0" xfId="0">
      <alignment horizontal="left" vertical="center" wrapText="1"/>
    </xf>
    <xf numFmtId="0" fontId="83" fillId="0" borderId="330" applyAlignment="1" pivotButton="0" quotePrefix="0" xfId="0">
      <alignment horizontal="left" vertical="center" wrapText="1"/>
    </xf>
    <xf numFmtId="0" fontId="6" fillId="55" borderId="334" applyAlignment="1" pivotButton="0" quotePrefix="0" xfId="0">
      <alignment horizontal="center" vertical="center" wrapText="1"/>
    </xf>
    <xf numFmtId="0" fontId="6" fillId="4" borderId="335" applyAlignment="1" pivotButton="0" quotePrefix="0" xfId="0">
      <alignment horizontal="left" vertical="center" wrapText="1" indent="1"/>
    </xf>
    <xf numFmtId="164" fontId="6" fillId="4" borderId="335" applyAlignment="1" pivotButton="0" quotePrefix="0" xfId="0">
      <alignment horizontal="left" vertical="center" wrapText="1" indent="1"/>
    </xf>
    <xf numFmtId="0" fontId="6" fillId="55" borderId="338" applyAlignment="1" pivotButton="0" quotePrefix="0" xfId="0">
      <alignment horizontal="center" vertical="center" wrapText="1"/>
    </xf>
    <xf numFmtId="0" fontId="6" fillId="8" borderId="294" applyAlignment="1" pivotButton="0" quotePrefix="0" xfId="0">
      <alignment horizontal="left" vertical="center" wrapText="1" indent="1"/>
    </xf>
    <xf numFmtId="164" fontId="6" fillId="8" borderId="294" applyAlignment="1" pivotButton="0" quotePrefix="0" xfId="0">
      <alignment horizontal="left" vertical="center" wrapText="1" indent="1"/>
    </xf>
    <xf numFmtId="0" fontId="6" fillId="4" borderId="294" applyAlignment="1" pivotButton="0" quotePrefix="0" xfId="0">
      <alignment horizontal="left" vertical="center" wrapText="1" indent="1"/>
    </xf>
    <xf numFmtId="164" fontId="6" fillId="4" borderId="294" applyAlignment="1" pivotButton="0" quotePrefix="0" xfId="0">
      <alignment horizontal="left" vertical="center" wrapText="1" indent="1"/>
    </xf>
    <xf numFmtId="0" fontId="83" fillId="0" borderId="326" applyAlignment="1" pivotButton="0" quotePrefix="0" xfId="0">
      <alignment horizontal="left" vertical="center" wrapText="1"/>
    </xf>
    <xf numFmtId="0" fontId="81" fillId="4" borderId="314" applyAlignment="1" pivotButton="0" quotePrefix="0" xfId="0">
      <alignment horizontal="left" vertical="center" wrapText="1"/>
    </xf>
    <xf numFmtId="0" fontId="82" fillId="4" borderId="316" pivotButton="0" quotePrefix="0" xfId="0"/>
    <xf numFmtId="0" fontId="80" fillId="4" borderId="319" applyAlignment="1" pivotButton="0" quotePrefix="0" xfId="0">
      <alignment horizontal="left" vertical="center" wrapText="1"/>
    </xf>
    <xf numFmtId="0" fontId="82" fillId="4" borderId="320" pivotButton="0" quotePrefix="0" xfId="0"/>
    <xf numFmtId="0" fontId="4" fillId="4" borderId="319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8" fillId="4" borderId="319" applyAlignment="1" pivotButton="0" quotePrefix="0" xfId="0">
      <alignment horizontal="left" vertical="center" wrapText="1"/>
    </xf>
    <xf numFmtId="0" fontId="78" fillId="4" borderId="1" applyAlignment="1" pivotButton="0" quotePrefix="0" xfId="0">
      <alignment horizontal="left" vertical="center" wrapText="1"/>
    </xf>
    <xf numFmtId="0" fontId="78" fillId="4" borderId="323" applyAlignment="1" pivotButton="0" quotePrefix="0" xfId="0">
      <alignment horizontal="left" vertical="center" wrapText="1"/>
    </xf>
    <xf numFmtId="0" fontId="78" fillId="4" borderId="324" applyAlignment="1" pivotButton="0" quotePrefix="0" xfId="0">
      <alignment horizontal="left" vertical="center" wrapText="1"/>
    </xf>
    <xf numFmtId="0" fontId="82" fillId="4" borderId="325" pivotButton="0" quotePrefix="0" xfId="0"/>
    <xf numFmtId="0" fontId="78" fillId="4" borderId="334" applyAlignment="1" pivotButton="0" quotePrefix="0" xfId="0">
      <alignment horizontal="left" vertical="center" wrapText="1"/>
    </xf>
    <xf numFmtId="0" fontId="78" fillId="4" borderId="335" applyAlignment="1" pivotButton="0" quotePrefix="0" xfId="0">
      <alignment horizontal="left" vertical="center" wrapText="1"/>
    </xf>
    <xf numFmtId="0" fontId="78" fillId="51" borderId="338" applyAlignment="1" pivotButton="0" quotePrefix="0" xfId="0">
      <alignment horizontal="left" vertical="center" wrapText="1"/>
    </xf>
    <xf numFmtId="0" fontId="78" fillId="51" borderId="294" applyAlignment="1" pivotButton="0" quotePrefix="0" xfId="0">
      <alignment horizontal="left" vertical="center" wrapText="1"/>
    </xf>
    <xf numFmtId="0" fontId="78" fillId="4" borderId="338" applyAlignment="1" pivotButton="0" quotePrefix="0" xfId="0">
      <alignment horizontal="left" vertical="center" wrapText="1"/>
    </xf>
    <xf numFmtId="0" fontId="78" fillId="4" borderId="294" applyAlignment="1" pivotButton="0" quotePrefix="0" xfId="0">
      <alignment horizontal="left" vertical="center" wrapText="1"/>
    </xf>
    <xf numFmtId="0" fontId="78" fillId="51" borderId="326" applyAlignment="1" pivotButton="0" quotePrefix="0" xfId="0">
      <alignment horizontal="left" vertical="center" wrapText="1"/>
    </xf>
    <xf numFmtId="0" fontId="78" fillId="51" borderId="327" applyAlignment="1" pivotButton="0" quotePrefix="0" xfId="0">
      <alignment horizontal="left" vertical="center" wrapText="1"/>
    </xf>
    <xf numFmtId="0" fontId="82" fillId="4" borderId="3" pivotButton="0" quotePrefix="0" xfId="0"/>
    <xf numFmtId="0" fontId="89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73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286" applyAlignment="1" pivotButton="0" quotePrefix="0" xfId="0">
      <alignment horizontal="right" vertical="center" wrapText="1"/>
    </xf>
    <xf numFmtId="0" fontId="0" fillId="0" borderId="374" pivotButton="0" quotePrefix="0" xfId="0"/>
    <xf numFmtId="0" fontId="0" fillId="0" borderId="375" pivotButton="0" quotePrefix="0" xfId="0"/>
    <xf numFmtId="0" fontId="51" fillId="4" borderId="374" applyAlignment="1" pivotButton="0" quotePrefix="0" xfId="0">
      <alignment horizontal="left" vertical="center" wrapText="1"/>
    </xf>
    <xf numFmtId="0" fontId="0" fillId="0" borderId="376" pivotButton="0" quotePrefix="0" xfId="0"/>
    <xf numFmtId="0" fontId="86" fillId="4" borderId="6" applyAlignment="1" pivotButton="0" quotePrefix="0" xfId="0">
      <alignment horizontal="center" vertical="center"/>
    </xf>
    <xf numFmtId="0" fontId="5" fillId="6" borderId="288" applyAlignment="1" pivotButton="0" quotePrefix="0" xfId="0">
      <alignment horizontal="right" vertical="center" wrapText="1"/>
    </xf>
    <xf numFmtId="0" fontId="0" fillId="0" borderId="377" pivotButton="0" quotePrefix="0" xfId="0"/>
    <xf numFmtId="0" fontId="0" fillId="0" borderId="378" pivotButton="0" quotePrefix="0" xfId="0"/>
    <xf numFmtId="0" fontId="51" fillId="4" borderId="377" applyAlignment="1" pivotButton="0" quotePrefix="0" xfId="0">
      <alignment horizontal="left" vertical="center" wrapText="1"/>
    </xf>
    <xf numFmtId="0" fontId="0" fillId="0" borderId="379" pivotButton="0" quotePrefix="0" xfId="0"/>
    <xf numFmtId="0" fontId="82" fillId="4" borderId="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/>
    </xf>
    <xf numFmtId="0" fontId="5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5" fillId="6" borderId="9" applyAlignment="1" pivotButton="0" quotePrefix="0" xfId="0">
      <alignment horizontal="left" vertical="center" wrapText="1"/>
    </xf>
    <xf numFmtId="0" fontId="82" fillId="0" borderId="1" pivotButton="0" quotePrefix="0" xfId="0"/>
    <xf numFmtId="0" fontId="5" fillId="6" borderId="12" applyAlignment="1" pivotButton="0" quotePrefix="0" xfId="0">
      <alignment horizontal="center" vertical="center" wrapText="1"/>
    </xf>
    <xf numFmtId="0" fontId="77" fillId="47" borderId="13" applyAlignment="1" pivotButton="0" quotePrefix="0" xfId="0">
      <alignment horizontal="center" vertical="center" wrapText="1"/>
    </xf>
    <xf numFmtId="0" fontId="78" fillId="4" borderId="13" applyAlignment="1" pivotButton="0" quotePrefix="0" xfId="0">
      <alignment horizontal="left" vertical="center" wrapText="1"/>
    </xf>
    <xf numFmtId="0" fontId="79" fillId="6" borderId="1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 wrapText="1"/>
    </xf>
    <xf numFmtId="0" fontId="77" fillId="47" borderId="2" applyAlignment="1" pivotButton="0" quotePrefix="0" xfId="0">
      <alignment horizontal="center" vertical="center" wrapText="1"/>
    </xf>
    <xf numFmtId="0" fontId="78" fillId="8" borderId="2" applyAlignment="1" pivotButton="0" quotePrefix="0" xfId="0">
      <alignment horizontal="left" vertical="center" wrapText="1"/>
    </xf>
    <xf numFmtId="0" fontId="79" fillId="6" borderId="2" applyAlignment="1" pivotButton="0" quotePrefix="0" xfId="0">
      <alignment horizontal="left" vertical="center" wrapText="1"/>
    </xf>
    <xf numFmtId="0" fontId="78" fillId="4" borderId="2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center" vertical="center" wrapText="1"/>
    </xf>
    <xf numFmtId="0" fontId="77" fillId="47" borderId="9" applyAlignment="1" pivotButton="0" quotePrefix="0" xfId="0">
      <alignment horizontal="center" vertical="center" wrapText="1"/>
    </xf>
    <xf numFmtId="0" fontId="78" fillId="8" borderId="9" applyAlignment="1" pivotButton="0" quotePrefix="0" xfId="0">
      <alignment horizontal="left" vertical="center" wrapText="1"/>
    </xf>
    <xf numFmtId="0" fontId="79" fillId="6" borderId="9" applyAlignment="1" pivotButton="0" quotePrefix="0" xfId="0">
      <alignment horizontal="left" vertical="center" wrapText="1"/>
    </xf>
    <xf numFmtId="0" fontId="78" fillId="4" borderId="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 wrapText="1"/>
    </xf>
    <xf numFmtId="0" fontId="16" fillId="4" borderId="11" applyAlignment="1" pivotButton="0" quotePrefix="0" xfId="0">
      <alignment horizontal="center" vertical="bottom"/>
    </xf>
    <xf numFmtId="0" fontId="16" fillId="4" borderId="2" applyAlignment="1" pivotButton="0" quotePrefix="0" xfId="0">
      <alignment horizontal="center" vertical="bottom"/>
    </xf>
    <xf numFmtId="0" fontId="12" fillId="4" borderId="278" applyAlignment="1" pivotButton="0" quotePrefix="0" xfId="0">
      <alignment horizontal="left" vertical="center" wrapText="1" indent="1"/>
    </xf>
    <xf numFmtId="0" fontId="89" fillId="4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right" vertical="center" wrapText="1"/>
    </xf>
    <xf numFmtId="0" fontId="51" fillId="4" borderId="5" applyAlignment="1" pivotButton="0" quotePrefix="0" xfId="0">
      <alignment horizontal="left" vertical="center" wrapText="1"/>
    </xf>
    <xf numFmtId="0" fontId="12" fillId="4" borderId="280" applyAlignment="1" pivotButton="0" quotePrefix="0" xfId="0">
      <alignment horizontal="left" vertical="center" wrapText="1" indent="1"/>
    </xf>
    <xf numFmtId="0" fontId="89" fillId="4" borderId="374" applyAlignment="1" pivotButton="0" quotePrefix="0" xfId="0">
      <alignment horizontal="center" vertical="center" wrapText="1"/>
    </xf>
    <xf numFmtId="0" fontId="5" fillId="6" borderId="374" applyAlignment="1" pivotButton="0" quotePrefix="0" xfId="0">
      <alignment horizontal="right" vertical="center" wrapText="1"/>
    </xf>
    <xf numFmtId="0" fontId="51" fillId="4" borderId="37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center" vertical="center" wrapText="1"/>
    </xf>
    <xf numFmtId="0" fontId="86" fillId="4" borderId="374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 wrapText="1"/>
    </xf>
    <xf numFmtId="0" fontId="12" fillId="4" borderId="282" applyAlignment="1" pivotButton="0" quotePrefix="0" xfId="0">
      <alignment horizontal="left" vertical="center" wrapText="1" indent="1"/>
    </xf>
    <xf numFmtId="0" fontId="11" fillId="4" borderId="377" applyAlignment="1" pivotButton="0" quotePrefix="0" xfId="0">
      <alignment horizontal="center" vertical="center"/>
    </xf>
    <xf numFmtId="0" fontId="5" fillId="6" borderId="377" applyAlignment="1" pivotButton="0" quotePrefix="0" xfId="0">
      <alignment horizontal="right" vertical="center" wrapText="1"/>
    </xf>
    <xf numFmtId="0" fontId="51" fillId="4" borderId="379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13" fillId="7" borderId="20" applyAlignment="1" pivotButton="0" quotePrefix="0" xfId="0">
      <alignment horizontal="left" vertical="center" wrapText="1"/>
    </xf>
    <xf numFmtId="0" fontId="13" fillId="7" borderId="21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5" fillId="6" borderId="13" applyAlignment="1" pivotButton="0" quotePrefix="0" xfId="0">
      <alignment horizontal="left" vertical="center" wrapText="1" indent="1"/>
    </xf>
    <xf numFmtId="0" fontId="83" fillId="0" borderId="13" applyAlignment="1" pivotButton="0" quotePrefix="0" xfId="0">
      <alignment horizontal="left" vertical="center" wrapText="1"/>
    </xf>
    <xf numFmtId="0" fontId="83" fillId="0" borderId="14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83" fillId="0" borderId="2" applyAlignment="1" pivotButton="0" quotePrefix="0" xfId="0">
      <alignment horizontal="left" vertical="center" wrapText="1"/>
    </xf>
    <xf numFmtId="0" fontId="83" fillId="0" borderId="15" applyAlignment="1" pivotButton="0" quotePrefix="0" xfId="0">
      <alignment horizontal="left" vertical="center" wrapText="1"/>
    </xf>
    <xf numFmtId="0" fontId="82" fillId="0" borderId="2" pivotButton="0" quotePrefix="0" xfId="0"/>
    <xf numFmtId="0" fontId="82" fillId="0" borderId="15" pivotButton="0" quotePrefix="0" xfId="0"/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5" fillId="6" borderId="9" applyAlignment="1" pivotButton="0" quotePrefix="0" xfId="0">
      <alignment horizontal="left" vertical="center" wrapText="1" indent="1"/>
    </xf>
    <xf numFmtId="0" fontId="83" fillId="0" borderId="9" applyAlignment="1" pivotButton="0" quotePrefix="0" xfId="0">
      <alignment horizontal="left" vertical="center" wrapText="1"/>
    </xf>
    <xf numFmtId="0" fontId="83" fillId="0" borderId="1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164" fontId="6" fillId="4" borderId="13" applyAlignment="1" pivotButton="0" quotePrefix="0" xfId="0">
      <alignment horizontal="left" vertical="center" wrapText="1" indent="1"/>
    </xf>
    <xf numFmtId="0" fontId="6" fillId="6" borderId="11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164" fontId="6" fillId="8" borderId="2" applyAlignment="1" pivotButton="0" quotePrefix="0" xfId="0">
      <alignment horizontal="left" vertical="center" wrapText="1" indent="1"/>
    </xf>
    <xf numFmtId="164" fontId="6" fillId="4" borderId="2" applyAlignment="1" pivotButton="0" quotePrefix="0" xfId="0">
      <alignment horizontal="left" vertical="center" wrapText="1" indent="1"/>
    </xf>
    <xf numFmtId="0" fontId="83" fillId="0" borderId="8" applyAlignment="1" pivotButton="0" quotePrefix="0" xfId="0">
      <alignment horizontal="left" vertical="center" wrapText="1"/>
    </xf>
    <xf numFmtId="0" fontId="0" fillId="0" borderId="345" pivotButton="0" quotePrefix="0" xfId="0"/>
    <xf numFmtId="0" fontId="82" fillId="4" borderId="130" pivotButton="0" quotePrefix="0" xfId="0"/>
    <xf numFmtId="0" fontId="5" fillId="6" borderId="278" applyAlignment="1" pivotButton="0" quotePrefix="0" xfId="0">
      <alignment horizontal="right" vertical="center" wrapText="1"/>
    </xf>
    <xf numFmtId="0" fontId="0" fillId="0" borderId="127" pivotButton="0" quotePrefix="0" xfId="0"/>
    <xf numFmtId="0" fontId="5" fillId="6" borderId="280" applyAlignment="1" pivotButton="0" quotePrefix="0" xfId="0">
      <alignment horizontal="right" vertical="center" wrapText="1"/>
    </xf>
    <xf numFmtId="0" fontId="0" fillId="0" borderId="380" pivotButton="0" quotePrefix="0" xfId="0"/>
    <xf numFmtId="0" fontId="0" fillId="0" borderId="381" pivotButton="0" quotePrefix="0" xfId="0"/>
    <xf numFmtId="0" fontId="0" fillId="0" borderId="384" pivotButton="0" quotePrefix="0" xfId="0"/>
    <xf numFmtId="0" fontId="5" fillId="6" borderId="282" applyAlignment="1" pivotButton="0" quotePrefix="0" xfId="0">
      <alignment horizontal="right" vertical="center" wrapText="1"/>
    </xf>
    <xf numFmtId="0" fontId="0" fillId="0" borderId="382" pivotButton="0" quotePrefix="0" xfId="0"/>
    <xf numFmtId="0" fontId="0" fillId="0" borderId="383" pivotButton="0" quotePrefix="0" xfId="0"/>
    <xf numFmtId="0" fontId="0" fillId="0" borderId="385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/>
    </xf>
    <xf numFmtId="0" fontId="5" fillId="6" borderId="16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left" vertical="center" wrapText="1"/>
    </xf>
    <xf numFmtId="0" fontId="5" fillId="6" borderId="17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left" vertical="center" wrapText="1"/>
    </xf>
    <xf numFmtId="0" fontId="5" fillId="6" borderId="18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 wrapText="1"/>
    </xf>
    <xf numFmtId="0" fontId="77" fillId="47" borderId="16" applyAlignment="1" pivotButton="0" quotePrefix="0" xfId="0">
      <alignment horizontal="center" vertical="center" wrapText="1"/>
    </xf>
    <xf numFmtId="0" fontId="78" fillId="4" borderId="16" applyAlignment="1" pivotButton="0" quotePrefix="0" xfId="0">
      <alignment horizontal="left" vertical="center" wrapText="1"/>
    </xf>
    <xf numFmtId="0" fontId="79" fillId="6" borderId="16" applyAlignment="1" pivotButton="0" quotePrefix="0" xfId="0">
      <alignment horizontal="left" vertical="center" wrapText="1"/>
    </xf>
    <xf numFmtId="0" fontId="78" fillId="4" borderId="14" applyAlignment="1" pivotButton="0" quotePrefix="0" xfId="0">
      <alignment horizontal="left" vertical="center" wrapText="1"/>
    </xf>
    <xf numFmtId="0" fontId="5" fillId="6" borderId="120" applyAlignment="1" pivotButton="0" quotePrefix="0" xfId="0">
      <alignment horizontal="center" vertical="center" wrapText="1"/>
    </xf>
    <xf numFmtId="0" fontId="78" fillId="4" borderId="15" applyAlignment="1" pivotButton="0" quotePrefix="0" xfId="0">
      <alignment horizontal="left" vertical="center" wrapText="1"/>
    </xf>
    <xf numFmtId="0" fontId="5" fillId="6" borderId="138" applyAlignment="1" pivotButton="0" quotePrefix="0" xfId="0">
      <alignment horizontal="center" vertical="center" wrapText="1"/>
    </xf>
    <xf numFmtId="0" fontId="78" fillId="4" borderId="18" applyAlignment="1" pivotButton="0" quotePrefix="0" xfId="0">
      <alignment horizontal="left" vertical="center" wrapText="1"/>
    </xf>
    <xf numFmtId="0" fontId="78" fillId="4" borderId="1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center" vertical="center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16" fillId="4" borderId="120" applyAlignment="1" pivotButton="0" quotePrefix="0" xfId="0">
      <alignment horizontal="center" vertical="bottom"/>
    </xf>
    <xf numFmtId="0" fontId="0" fillId="0" borderId="121" pivotButton="0" quotePrefix="0" xfId="0"/>
    <xf numFmtId="0" fontId="16" fillId="4" borderId="17" applyAlignment="1" pivotButton="0" quotePrefix="0" xfId="0">
      <alignment horizontal="center" vertical="bottom"/>
    </xf>
    <xf numFmtId="0" fontId="16" fillId="4" borderId="15" applyAlignment="1" pivotButton="0" quotePrefix="0" xfId="0">
      <alignment horizontal="center" vertical="bottom"/>
    </xf>
    <xf numFmtId="0" fontId="5" fillId="6" borderId="13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5" fillId="6" borderId="18" applyAlignment="1" pivotButton="0" quotePrefix="0" xfId="0">
      <alignment horizontal="left" vertical="center" wrapText="1" inden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I1" authorId="0" shapeId="0">
      <text>
        <t>Linked SOP/WI/ANNEX: SOP-201/SOP-501 | WI-207 | ANNEX-QMS-020/OPS-002/QA-003</t>
      </text>
    </comment>
    <comment ref="A47" authorId="0" shapeId="0">
      <text>
        <t>Upstream: FRM-202 / FRM-204 / FRM-207 / FRM-306. Downstream: FRM-501 / FRM-519 / release-hold actions.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63378</colOff>
      <row>0</row>
      <rowOff>442597</rowOff>
    </from>
    <ext cx="235404" cy="6790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RISKS_ACTIONS" displayName="RISKS_ACTIONS" ref="A16:I26" headerRowCount="1">
  <autoFilter ref="A16:I26"/>
  <tableColumns count="9">
    <tableColumn id="1" name="#"/>
    <tableColumn id="2" name="Risk / Readiness Gap"/>
    <tableColumn id="3" name="Impact"/>
    <tableColumn id="4" name="Containment / Action"/>
    <tableColumn id="5" name="Owner"/>
    <tableColumn id="6" name="Due Date"/>
    <tableColumn id="7" name="Escalation"/>
    <tableColumn id="8" name="Status"/>
    <tableColumn id="9" name="Evidence Ref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REF_LINKS" displayName="REF_LINKS" ref="A3:G11" headerRowCount="1">
  <autoFilter ref="A3:G11"/>
  <tableColumns count="7">
    <tableColumn id="1" name="Ref Type"/>
    <tableColumn id="2" name="Document / Record"/>
    <tableColumn id="3" name="System of Record"/>
    <tableColumn id="4" name="Unique Ref"/>
    <tableColumn id="5" name="Owner"/>
    <tableColumn id="6" name="Status"/>
    <tableColumn id="7" name="Note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N47"/>
  <sheetViews>
    <sheetView showGridLines="0" tabSelected="1" topLeftCell="A1" zoomScale="100" zoomScaleNormal="100" workbookViewId="0">
      <selection activeCell="A1" sqref="A1"/>
    </sheetView>
  </sheetViews>
  <sheetFormatPr baseColWidth="8" defaultRowHeight="15"/>
  <cols>
    <col width="2.329999923706055" customWidth="1" min="1" max="1"/>
    <col width="2.329999923706055" customWidth="1" min="2" max="2"/>
    <col width="2.329999923706055" customWidth="1" min="3" max="3"/>
    <col width="2.329999923706055" customWidth="1" min="4" max="4"/>
    <col width="2.329999923706055" customWidth="1" min="5" max="5"/>
    <col width="2.329999923706055" customWidth="1" min="6" max="6"/>
    <col width="2.329999923706055" customWidth="1" min="7" max="7"/>
    <col width="2.329999923706055" customWidth="1" min="8" max="8"/>
    <col width="2.329999923706055" customWidth="1" min="9" max="9"/>
    <col width="2.329999923706055" customWidth="1" min="10" max="10"/>
    <col width="2.329999923706055" customWidth="1" min="11" max="11"/>
    <col width="2.329999923706055" customWidth="1" min="12" max="12"/>
    <col width="2.329999923706055" customWidth="1" min="13" max="13"/>
    <col width="2.329999923706055" customWidth="1" min="14" max="14"/>
    <col width="2.329999923706055" customWidth="1" min="15" max="15"/>
    <col width="2.329999923706055" customWidth="1" min="16" max="16"/>
    <col width="2.329999923706055" customWidth="1" min="17" max="17"/>
    <col width="2.329999923706055" customWidth="1" min="18" max="18"/>
    <col width="2.329999923706055" customWidth="1" min="19" max="19"/>
    <col width="2.329999923706055" customWidth="1" min="20" max="20"/>
    <col width="2.329999923706055" customWidth="1" min="21" max="21"/>
    <col width="2.329999923706055" customWidth="1" min="22" max="22"/>
    <col width="2.329999923706055" customWidth="1" min="23" max="23"/>
    <col width="2.329999923706055" customWidth="1" min="24" max="24"/>
    <col width="2.329999923706055" customWidth="1" min="25" max="25"/>
    <col width="2.329999923706055" customWidth="1" min="26" max="26"/>
    <col width="2.329999923706055" customWidth="1" min="27" max="27"/>
    <col width="2.329999923706055" customWidth="1" min="28" max="28"/>
    <col width="2.329999923706055" customWidth="1" min="29" max="29"/>
    <col width="2.329999923706055" customWidth="1" min="30" max="30"/>
    <col width="2.329999923706055" customWidth="1" min="31" max="31"/>
    <col width="2.329999923706055" customWidth="1" min="32" max="32"/>
    <col width="2.329999923706055" customWidth="1" min="33" max="33"/>
    <col width="2.329999923706055" customWidth="1" min="34" max="34"/>
    <col width="2.329999923706055" customWidth="1" min="35" max="35"/>
    <col width="2.329999923706055" customWidth="1" min="36" max="36"/>
    <col width="2.329999923706055" customWidth="1" min="37" max="37"/>
    <col width="2.329999923706055" customWidth="1" min="38" max="38"/>
    <col width="2.329999923706055" customWidth="1" min="39" max="39"/>
    <col width="2.329999923706055" customWidth="1" min="40" max="40"/>
    <col hidden="1" outlineLevel="1" width="13" customWidth="1" min="41" max="16384"/>
  </cols>
  <sheetData>
    <row r="1" ht="15" customHeight="1">
      <c r="A1" s="719" t="inlineStr"/>
      <c r="B1" s="268" t="n"/>
      <c r="C1" s="268" t="n"/>
      <c r="D1" s="268" t="n"/>
      <c r="E1" s="268" t="n"/>
      <c r="F1" s="268" t="n"/>
      <c r="G1" s="268" t="n"/>
      <c r="H1" s="319" t="n"/>
      <c r="I1" s="631" t="inlineStr">
        <is>
          <t>HIGH-RISK JOB READINESS REVIEW</t>
        </is>
      </c>
      <c r="J1" s="268" t="n"/>
      <c r="K1" s="268" t="n"/>
      <c r="L1" s="268" t="n"/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720" t="inlineStr">
        <is>
          <t>Form Code</t>
        </is>
      </c>
      <c r="AF1" s="268" t="n"/>
      <c r="AG1" s="268" t="n"/>
      <c r="AH1" s="721" t="n"/>
      <c r="AI1" s="678" t="inlineStr">
        <is>
          <t>FRM-209</t>
        </is>
      </c>
      <c r="AJ1" s="268" t="n"/>
      <c r="AK1" s="268" t="n"/>
      <c r="AL1" s="268" t="n"/>
      <c r="AM1" s="268" t="n"/>
      <c r="AN1" s="319" t="n"/>
    </row>
    <row r="2" ht="15" customHeight="1">
      <c r="A2" s="275" t="n"/>
      <c r="H2" s="320" t="n"/>
      <c r="I2" s="275" t="n"/>
      <c r="AE2" s="722" t="inlineStr">
        <is>
          <t>Revision</t>
        </is>
      </c>
      <c r="AF2" s="723" t="n"/>
      <c r="AG2" s="723" t="n"/>
      <c r="AH2" s="724" t="n"/>
      <c r="AI2" s="682" t="inlineStr">
        <is>
          <t>V0</t>
        </is>
      </c>
      <c r="AJ2" s="723" t="n"/>
      <c r="AK2" s="723" t="n"/>
      <c r="AL2" s="723" t="n"/>
      <c r="AM2" s="723" t="n"/>
      <c r="AN2" s="725" t="n"/>
    </row>
    <row r="3" ht="15" customHeight="1">
      <c r="A3" s="275" t="n"/>
      <c r="H3" s="320" t="n"/>
      <c r="I3" s="275" t="n"/>
      <c r="AE3" s="722" t="inlineStr">
        <is>
          <t>Eff. Date</t>
        </is>
      </c>
      <c r="AF3" s="723" t="n"/>
      <c r="AG3" s="723" t="n"/>
      <c r="AH3" s="724" t="n"/>
      <c r="AI3" s="682" t="inlineStr">
        <is>
          <t>YYYY-MM-DD</t>
        </is>
      </c>
      <c r="AJ3" s="723" t="n"/>
      <c r="AK3" s="723" t="n"/>
      <c r="AL3" s="723" t="n"/>
      <c r="AM3" s="723" t="n"/>
      <c r="AN3" s="725" t="n"/>
    </row>
    <row r="4" ht="15" customHeight="1">
      <c r="A4" s="275" t="n"/>
      <c r="H4" s="320" t="n"/>
      <c r="I4" s="640" t="inlineStr">
        <is>
          <t>Quality Management System  ·  Controlled Document</t>
        </is>
      </c>
      <c r="AE4" s="722" t="inlineStr">
        <is>
          <t>Owner</t>
        </is>
      </c>
      <c r="AF4" s="723" t="n"/>
      <c r="AG4" s="723" t="n"/>
      <c r="AH4" s="724" t="n"/>
      <c r="AI4" s="682" t="inlineStr">
        <is>
          <t>Planning / QA / Engineering</t>
        </is>
      </c>
      <c r="AJ4" s="723" t="n"/>
      <c r="AK4" s="723" t="n"/>
      <c r="AL4" s="723" t="n"/>
      <c r="AM4" s="723" t="n"/>
      <c r="AN4" s="725" t="n"/>
    </row>
    <row r="5" ht="15" customHeight="1">
      <c r="A5" s="282" t="n"/>
      <c r="B5" s="283" t="n"/>
      <c r="C5" s="283" t="n"/>
      <c r="D5" s="283" t="n"/>
      <c r="E5" s="283" t="n"/>
      <c r="F5" s="283" t="n"/>
      <c r="G5" s="283" t="n"/>
      <c r="H5" s="287" t="n"/>
      <c r="I5" s="20" t="inlineStr">
        <is>
          <t>HESEM Engineering  ·  ISO 9001 / AS9100  ·  Semiconductor Equipment Parts</t>
        </is>
      </c>
      <c r="J5" s="283" t="n"/>
      <c r="K5" s="283" t="n"/>
      <c r="L5" s="283" t="n"/>
      <c r="M5" s="283" t="n"/>
      <c r="N5" s="283" t="n"/>
      <c r="O5" s="283" t="n"/>
      <c r="P5" s="283" t="n"/>
      <c r="Q5" s="283" t="n"/>
      <c r="R5" s="283" t="n"/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726" t="inlineStr">
        <is>
          <t>Approved</t>
        </is>
      </c>
      <c r="AF5" s="727" t="n"/>
      <c r="AG5" s="727" t="n"/>
      <c r="AH5" s="728" t="n"/>
      <c r="AI5" s="689" t="inlineStr">
        <is>
          <t>General Manager</t>
        </is>
      </c>
      <c r="AJ5" s="727" t="n"/>
      <c r="AK5" s="727" t="n"/>
      <c r="AL5" s="727" t="n"/>
      <c r="AM5" s="727" t="n"/>
      <c r="AN5" s="729" t="n"/>
    </row>
    <row r="6" ht="1.5" customHeight="1">
      <c r="A6" s="646" t="n"/>
      <c r="B6" s="646" t="n"/>
      <c r="C6" s="646" t="n"/>
      <c r="D6" s="646" t="n"/>
      <c r="E6" s="646" t="n"/>
      <c r="F6" s="646" t="n"/>
      <c r="G6" s="646" t="n"/>
      <c r="H6" s="646" t="n"/>
      <c r="I6" s="646" t="n"/>
      <c r="J6" s="646" t="n"/>
      <c r="K6" s="646" t="n"/>
      <c r="L6" s="646" t="n"/>
      <c r="M6" s="646" t="n"/>
      <c r="N6" s="646" t="n"/>
      <c r="O6" s="646" t="n"/>
      <c r="P6" s="646" t="n"/>
      <c r="Q6" s="646" t="n"/>
      <c r="R6" s="646" t="n"/>
      <c r="S6" s="646" t="n"/>
      <c r="T6" s="646" t="n"/>
      <c r="U6" s="646" t="n"/>
      <c r="V6" s="646" t="n"/>
      <c r="W6" s="646" t="n"/>
      <c r="X6" s="646" t="n"/>
      <c r="Y6" s="646" t="n"/>
      <c r="Z6" s="646" t="n"/>
      <c r="AA6" s="646" t="n"/>
      <c r="AB6" s="646" t="n"/>
      <c r="AC6" s="646" t="n"/>
      <c r="AD6" s="646" t="n"/>
      <c r="AE6" s="646" t="n"/>
      <c r="AF6" s="646" t="n"/>
      <c r="AG6" s="646" t="n"/>
      <c r="AH6" s="646" t="n"/>
      <c r="AI6" s="646" t="n"/>
      <c r="AJ6" s="646" t="n"/>
      <c r="AK6" s="646" t="n"/>
      <c r="AL6" s="646" t="n"/>
      <c r="AM6" s="646" t="n"/>
      <c r="AN6" s="646" t="n"/>
    </row>
    <row r="7" ht="18" customHeight="1">
      <c r="A7" s="730" t="inlineStr">
        <is>
          <t>1.  HIGH-RISK JOB HEADER / REFERENCE INFORMATION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289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  <c r="AN7" s="290" t="n"/>
    </row>
    <row r="8" ht="20" customHeight="1">
      <c r="A8" s="731" t="inlineStr">
        <is>
          <t>Readiness Review ID</t>
        </is>
      </c>
      <c r="B8" s="271" t="n"/>
      <c r="C8" s="271" t="n"/>
      <c r="D8" s="271" t="n"/>
      <c r="E8" s="271" t="n"/>
      <c r="F8" s="271" t="n"/>
      <c r="G8" s="272" t="n"/>
      <c r="H8" s="292" t="inlineStr"/>
      <c r="I8" s="271" t="n"/>
      <c r="J8" s="271" t="n"/>
      <c r="K8" s="271" t="n"/>
      <c r="L8" s="271" t="n"/>
      <c r="M8" s="271" t="n"/>
      <c r="N8" s="271" t="n"/>
      <c r="O8" s="271" t="n"/>
      <c r="P8" s="271" t="n"/>
      <c r="Q8" s="271" t="n"/>
      <c r="R8" s="271" t="n"/>
      <c r="S8" s="271" t="n"/>
      <c r="T8" s="272" t="n"/>
      <c r="U8" s="732" t="inlineStr">
        <is>
          <t>Job / WO</t>
        </is>
      </c>
      <c r="V8" s="271" t="n"/>
      <c r="W8" s="271" t="n"/>
      <c r="X8" s="271" t="n"/>
      <c r="Y8" s="271" t="n"/>
      <c r="Z8" s="271" t="n"/>
      <c r="AA8" s="272" t="n"/>
      <c r="AB8" s="294" t="inlineStr"/>
      <c r="AC8" s="271" t="n"/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271" t="n"/>
      <c r="AN8" s="274" t="n"/>
    </row>
    <row r="9" ht="20" customHeight="1">
      <c r="A9" s="733" t="inlineStr">
        <is>
          <t>Customer</t>
        </is>
      </c>
      <c r="B9" s="277" t="n"/>
      <c r="C9" s="277" t="n"/>
      <c r="D9" s="277" t="n"/>
      <c r="E9" s="277" t="n"/>
      <c r="F9" s="277" t="n"/>
      <c r="G9" s="278" t="n"/>
      <c r="H9" s="296" t="inlineStr"/>
      <c r="I9" s="277" t="n"/>
      <c r="J9" s="277" t="n"/>
      <c r="K9" s="277" t="n"/>
      <c r="L9" s="277" t="n"/>
      <c r="M9" s="277" t="n"/>
      <c r="N9" s="277" t="n"/>
      <c r="O9" s="277" t="n"/>
      <c r="P9" s="277" t="n"/>
      <c r="Q9" s="277" t="n"/>
      <c r="R9" s="277" t="n"/>
      <c r="S9" s="277" t="n"/>
      <c r="T9" s="278" t="n"/>
      <c r="U9" s="734" t="inlineStr">
        <is>
          <t>Part No. / Revision</t>
        </is>
      </c>
      <c r="V9" s="277" t="n"/>
      <c r="W9" s="277" t="n"/>
      <c r="X9" s="277" t="n"/>
      <c r="Y9" s="277" t="n"/>
      <c r="Z9" s="277" t="n"/>
      <c r="AA9" s="278" t="n"/>
      <c r="AB9" s="279" t="inlineStr"/>
      <c r="AC9" s="277" t="n"/>
      <c r="AD9" s="277" t="n"/>
      <c r="AE9" s="277" t="n"/>
      <c r="AF9" s="277" t="n"/>
      <c r="AG9" s="277" t="n"/>
      <c r="AH9" s="277" t="n"/>
      <c r="AI9" s="277" t="n"/>
      <c r="AJ9" s="277" t="n"/>
      <c r="AK9" s="277" t="n"/>
      <c r="AL9" s="277" t="n"/>
      <c r="AM9" s="277" t="n"/>
      <c r="AN9" s="280" t="n"/>
    </row>
    <row r="10" ht="26" customHeight="1">
      <c r="A10" s="733" t="inlineStr">
        <is>
          <t>Due Date / Commit</t>
        </is>
      </c>
      <c r="B10" s="277" t="n"/>
      <c r="C10" s="277" t="n"/>
      <c r="D10" s="277" t="n"/>
      <c r="E10" s="277" t="n"/>
      <c r="F10" s="277" t="n"/>
      <c r="G10" s="278" t="n"/>
      <c r="H10" s="296" t="inlineStr"/>
      <c r="I10" s="277" t="n"/>
      <c r="J10" s="277" t="n"/>
      <c r="K10" s="277" t="n"/>
      <c r="L10" s="277" t="n"/>
      <c r="M10" s="277" t="n"/>
      <c r="N10" s="277" t="n"/>
      <c r="O10" s="277" t="n"/>
      <c r="P10" s="277" t="n"/>
      <c r="Q10" s="277" t="n"/>
      <c r="R10" s="277" t="n"/>
      <c r="S10" s="277" t="n"/>
      <c r="T10" s="278" t="n"/>
      <c r="U10" s="734" t="inlineStr">
        <is>
          <t>Current Route Step</t>
        </is>
      </c>
      <c r="V10" s="277" t="n"/>
      <c r="W10" s="277" t="n"/>
      <c r="X10" s="277" t="n"/>
      <c r="Y10" s="277" t="n"/>
      <c r="Z10" s="277" t="n"/>
      <c r="AA10" s="278" t="n"/>
      <c r="AB10" s="279" t="inlineStr"/>
      <c r="AC10" s="277" t="n"/>
      <c r="AD10" s="277" t="n"/>
      <c r="AE10" s="277" t="n"/>
      <c r="AF10" s="277" t="n"/>
      <c r="AG10" s="277" t="n"/>
      <c r="AH10" s="277" t="n"/>
      <c r="AI10" s="277" t="n"/>
      <c r="AJ10" s="277" t="n"/>
      <c r="AK10" s="277" t="n"/>
      <c r="AL10" s="277" t="n"/>
      <c r="AM10" s="277" t="n"/>
      <c r="AN10" s="280" t="n"/>
    </row>
    <row r="11" ht="20" customHeight="1">
      <c r="A11" s="733" t="inlineStr">
        <is>
          <t>Top Risk Class</t>
        </is>
      </c>
      <c r="B11" s="277" t="n"/>
      <c r="C11" s="277" t="n"/>
      <c r="D11" s="277" t="n"/>
      <c r="E11" s="277" t="n"/>
      <c r="F11" s="277" t="n"/>
      <c r="G11" s="278" t="n"/>
      <c r="H11" s="296" t="inlineStr"/>
      <c r="I11" s="277" t="n"/>
      <c r="J11" s="277" t="n"/>
      <c r="K11" s="277" t="n"/>
      <c r="L11" s="277" t="n"/>
      <c r="M11" s="277" t="n"/>
      <c r="N11" s="277" t="n"/>
      <c r="O11" s="277" t="n"/>
      <c r="P11" s="277" t="n"/>
      <c r="Q11" s="277" t="n"/>
      <c r="R11" s="277" t="n"/>
      <c r="S11" s="277" t="n"/>
      <c r="T11" s="278" t="n"/>
      <c r="U11" s="734" t="inlineStr">
        <is>
          <t>Commercial / Ops Owner</t>
        </is>
      </c>
      <c r="V11" s="277" t="n"/>
      <c r="W11" s="277" t="n"/>
      <c r="X11" s="277" t="n"/>
      <c r="Y11" s="277" t="n"/>
      <c r="Z11" s="277" t="n"/>
      <c r="AA11" s="278" t="n"/>
      <c r="AB11" s="279" t="inlineStr"/>
      <c r="AC11" s="277" t="n"/>
      <c r="AD11" s="277" t="n"/>
      <c r="AE11" s="277" t="n"/>
      <c r="AF11" s="277" t="n"/>
      <c r="AG11" s="277" t="n"/>
      <c r="AH11" s="277" t="n"/>
      <c r="AI11" s="277" t="n"/>
      <c r="AJ11" s="277" t="n"/>
      <c r="AK11" s="277" t="n"/>
      <c r="AL11" s="277" t="n"/>
      <c r="AM11" s="277" t="n"/>
      <c r="AN11" s="280" t="n"/>
    </row>
    <row r="12" ht="20" customHeight="1">
      <c r="A12" s="735" t="inlineStr">
        <is>
          <t>Evidence Folder</t>
        </is>
      </c>
      <c r="B12" s="283" t="n"/>
      <c r="C12" s="283" t="n"/>
      <c r="D12" s="283" t="n"/>
      <c r="E12" s="283" t="n"/>
      <c r="F12" s="283" t="n"/>
      <c r="G12" s="285" t="n"/>
      <c r="H12" s="299" t="inlineStr"/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5" t="n"/>
      <c r="U12" s="736" t="inlineStr">
        <is>
          <t>Record Status</t>
        </is>
      </c>
      <c r="V12" s="283" t="n"/>
      <c r="W12" s="283" t="n"/>
      <c r="X12" s="283" t="n"/>
      <c r="Y12" s="283" t="n"/>
      <c r="Z12" s="283" t="n"/>
      <c r="AA12" s="285" t="n"/>
      <c r="AB12" s="286" t="inlineStr"/>
      <c r="AC12" s="283" t="n"/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3" t="n"/>
      <c r="AM12" s="283" t="n"/>
      <c r="AN12" s="287" t="n"/>
    </row>
    <row r="13" ht="3" customHeight="1">
      <c r="A13" s="654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</row>
    <row r="14" ht="18" customHeight="1">
      <c r="A14" s="730" t="inlineStr">
        <is>
          <t>2.  READINESS DECISION / OPEN RISK CONDITIONS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90" t="n"/>
    </row>
    <row r="15" ht="26" customHeight="1">
      <c r="A15" s="731" t="inlineStr">
        <is>
          <t>Gate Name / Trigger</t>
        </is>
      </c>
      <c r="B15" s="271" t="n"/>
      <c r="C15" s="271" t="n"/>
      <c r="D15" s="271" t="n"/>
      <c r="E15" s="271" t="n"/>
      <c r="F15" s="271" t="n"/>
      <c r="G15" s="272" t="n"/>
      <c r="H15" s="292" t="inlineStr">
        <is>
          <t>High-risk job release review</t>
        </is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2" t="n"/>
      <c r="U15" s="732" t="inlineStr">
        <is>
          <t>Gate Conclusion</t>
        </is>
      </c>
      <c r="V15" s="271" t="n"/>
      <c r="W15" s="271" t="n"/>
      <c r="X15" s="271" t="n"/>
      <c r="Y15" s="271" t="n"/>
      <c r="Z15" s="271" t="n"/>
      <c r="AA15" s="272" t="n"/>
      <c r="AB15" s="294">
        <f>IF(COUNTA(AF22:AF31)=0,"",IF(COUNTIF(AF22:AF31,"FAIL")+COUNTIF(AF22:AF31,"HOLD")&gt;0,"HOLD",IF(COUNTIF(AF22:AF31,"PASS")=COUNTA(AF22:AF31),"APPROVED","CONDITIONAL")))</f>
        <v/>
      </c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4" t="n"/>
    </row>
    <row r="16" ht="20" customHeight="1">
      <c r="A16" s="733" t="inlineStr">
        <is>
          <t>Open Risk / Hold Reason</t>
        </is>
      </c>
      <c r="B16" s="277" t="n"/>
      <c r="C16" s="277" t="n"/>
      <c r="D16" s="277" t="n"/>
      <c r="E16" s="277" t="n"/>
      <c r="F16" s="277" t="n"/>
      <c r="G16" s="278" t="n"/>
      <c r="H16" s="296" t="inlineStr"/>
      <c r="I16" s="277" t="n"/>
      <c r="J16" s="277" t="n"/>
      <c r="K16" s="277" t="n"/>
      <c r="L16" s="277" t="n"/>
      <c r="M16" s="277" t="n"/>
      <c r="N16" s="277" t="n"/>
      <c r="O16" s="277" t="n"/>
      <c r="P16" s="277" t="n"/>
      <c r="Q16" s="277" t="n"/>
      <c r="R16" s="277" t="n"/>
      <c r="S16" s="277" t="n"/>
      <c r="T16" s="278" t="n"/>
      <c r="U16" s="734" t="inlineStr">
        <is>
          <t>Next Step</t>
        </is>
      </c>
      <c r="V16" s="277" t="n"/>
      <c r="W16" s="277" t="n"/>
      <c r="X16" s="277" t="n"/>
      <c r="Y16" s="277" t="n"/>
      <c r="Z16" s="277" t="n"/>
      <c r="AA16" s="278" t="n"/>
      <c r="AB16" s="279" t="inlineStr"/>
      <c r="AC16" s="277" t="n"/>
      <c r="AD16" s="277" t="n"/>
      <c r="AE16" s="277" t="n"/>
      <c r="AF16" s="277" t="n"/>
      <c r="AG16" s="277" t="n"/>
      <c r="AH16" s="277" t="n"/>
      <c r="AI16" s="277" t="n"/>
      <c r="AJ16" s="277" t="n"/>
      <c r="AK16" s="277" t="n"/>
      <c r="AL16" s="277" t="n"/>
      <c r="AM16" s="277" t="n"/>
      <c r="AN16" s="280" t="n"/>
    </row>
    <row r="17" ht="20" customHeight="1">
      <c r="A17" s="733" t="inlineStr">
        <is>
          <t>Action Owner</t>
        </is>
      </c>
      <c r="B17" s="277" t="n"/>
      <c r="C17" s="277" t="n"/>
      <c r="D17" s="277" t="n"/>
      <c r="E17" s="277" t="n"/>
      <c r="F17" s="277" t="n"/>
      <c r="G17" s="278" t="n"/>
      <c r="H17" s="296" t="inlineStr"/>
      <c r="I17" s="277" t="n"/>
      <c r="J17" s="277" t="n"/>
      <c r="K17" s="277" t="n"/>
      <c r="L17" s="277" t="n"/>
      <c r="M17" s="277" t="n"/>
      <c r="N17" s="277" t="n"/>
      <c r="O17" s="277" t="n"/>
      <c r="P17" s="277" t="n"/>
      <c r="Q17" s="277" t="n"/>
      <c r="R17" s="277" t="n"/>
      <c r="S17" s="277" t="n"/>
      <c r="T17" s="278" t="n"/>
      <c r="U17" s="734" t="inlineStr">
        <is>
          <t>Due Date</t>
        </is>
      </c>
      <c r="V17" s="277" t="n"/>
      <c r="W17" s="277" t="n"/>
      <c r="X17" s="277" t="n"/>
      <c r="Y17" s="277" t="n"/>
      <c r="Z17" s="277" t="n"/>
      <c r="AA17" s="278" t="n"/>
      <c r="AB17" s="279" t="inlineStr"/>
      <c r="AC17" s="277" t="n"/>
      <c r="AD17" s="277" t="n"/>
      <c r="AE17" s="277" t="n"/>
      <c r="AF17" s="277" t="n"/>
      <c r="AG17" s="277" t="n"/>
      <c r="AH17" s="277" t="n"/>
      <c r="AI17" s="277" t="n"/>
      <c r="AJ17" s="277" t="n"/>
      <c r="AK17" s="277" t="n"/>
      <c r="AL17" s="277" t="n"/>
      <c r="AM17" s="277" t="n"/>
      <c r="AN17" s="280" t="n"/>
    </row>
    <row r="18" ht="20" customHeight="1">
      <c r="A18" s="735" t="inlineStr">
        <is>
          <t>Escalation if Overdue</t>
        </is>
      </c>
      <c r="B18" s="283" t="n"/>
      <c r="C18" s="283" t="n"/>
      <c r="D18" s="283" t="n"/>
      <c r="E18" s="283" t="n"/>
      <c r="F18" s="283" t="n"/>
      <c r="G18" s="285" t="n"/>
      <c r="H18" s="299" t="inlineStr"/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5" t="n"/>
      <c r="U18" s="736" t="inlineStr">
        <is>
          <t>Gate Status</t>
        </is>
      </c>
      <c r="V18" s="283" t="n"/>
      <c r="W18" s="283" t="n"/>
      <c r="X18" s="283" t="n"/>
      <c r="Y18" s="283" t="n"/>
      <c r="Z18" s="283" t="n"/>
      <c r="AA18" s="285" t="n"/>
      <c r="AB18" s="286">
        <f>IF(COUNTA(AF22:AF31)=0,"",IF(COUNTIF(AF22:AF31,"FAIL")+COUNTIF(AF22:AF31,"HOLD")&gt;0,"OPEN","CLOSED"))</f>
        <v/>
      </c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7" t="n"/>
    </row>
    <row r="19" ht="3" customHeight="1">
      <c r="A19" s="654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</row>
    <row r="20" ht="18" customHeight="1">
      <c r="A20" s="730" t="inlineStr">
        <is>
          <t>3.  READINESS CRITERIA / RISK CHECK</t>
        </is>
      </c>
      <c r="B20" s="289" t="n"/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90" t="n"/>
    </row>
    <row r="21" ht="18" customHeight="1">
      <c r="A21" s="301" t="inlineStr">
        <is>
          <t>#</t>
        </is>
      </c>
      <c r="B21" s="272" t="n"/>
      <c r="C21" s="302" t="inlineStr">
        <is>
          <t>Cat.</t>
        </is>
      </c>
      <c r="D21" s="271" t="n"/>
      <c r="E21" s="272" t="n"/>
      <c r="F21" s="302" t="inlineStr">
        <is>
          <t>Readiness / Risk Item</t>
        </is>
      </c>
      <c r="G21" s="271" t="n"/>
      <c r="H21" s="271" t="n"/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2" t="n"/>
      <c r="T21" s="302" t="inlineStr">
        <is>
          <t>Acceptance / Control Rule</t>
        </is>
      </c>
      <c r="U21" s="271" t="n"/>
      <c r="V21" s="271" t="n"/>
      <c r="W21" s="271" t="n"/>
      <c r="X21" s="271" t="n"/>
      <c r="Y21" s="271" t="n"/>
      <c r="Z21" s="271" t="n"/>
      <c r="AA21" s="271" t="n"/>
      <c r="AB21" s="271" t="n"/>
      <c r="AC21" s="271" t="n"/>
      <c r="AD21" s="271" t="n"/>
      <c r="AE21" s="272" t="n"/>
      <c r="AF21" s="302" t="inlineStr">
        <is>
          <t>Result</t>
        </is>
      </c>
      <c r="AG21" s="271" t="n"/>
      <c r="AH21" s="271" t="n"/>
      <c r="AI21" s="272" t="n"/>
      <c r="AJ21" s="302" t="inlineStr">
        <is>
          <t>Owner</t>
        </is>
      </c>
      <c r="AK21" s="271" t="n"/>
      <c r="AL21" s="272" t="n"/>
      <c r="AM21" s="303" t="inlineStr">
        <is>
          <t>Ref.</t>
        </is>
      </c>
      <c r="AN21" s="274" t="n"/>
    </row>
    <row r="22" ht="20" customHeight="1">
      <c r="A22" s="737" t="n">
        <v>1</v>
      </c>
      <c r="B22" s="272" t="n"/>
      <c r="C22" s="738" t="inlineStr">
        <is>
          <t>RSK</t>
        </is>
      </c>
      <c r="D22" s="271" t="n"/>
      <c r="E22" s="272" t="n"/>
      <c r="F22" s="739" t="inlineStr">
        <is>
          <t>Released baseline package is locked.</t>
        </is>
      </c>
      <c r="G22" s="271" t="n"/>
      <c r="H22" s="271" t="n"/>
      <c r="I22" s="271" t="n"/>
      <c r="J22" s="271" t="n"/>
      <c r="K22" s="271" t="n"/>
      <c r="L22" s="271" t="n"/>
      <c r="M22" s="271" t="n"/>
      <c r="N22" s="271" t="n"/>
      <c r="O22" s="271" t="n"/>
      <c r="P22" s="271" t="n"/>
      <c r="Q22" s="271" t="n"/>
      <c r="R22" s="271" t="n"/>
      <c r="S22" s="272" t="n"/>
      <c r="T22" s="740" t="inlineStr">
        <is>
          <t>FRM-306 or released package reference is current.</t>
        </is>
      </c>
      <c r="U22" s="271" t="n"/>
      <c r="V22" s="271" t="n"/>
      <c r="W22" s="271" t="n"/>
      <c r="X22" s="271" t="n"/>
      <c r="Y22" s="271" t="n"/>
      <c r="Z22" s="271" t="n"/>
      <c r="AA22" s="271" t="n"/>
      <c r="AB22" s="271" t="n"/>
      <c r="AC22" s="271" t="n"/>
      <c r="AD22" s="271" t="n"/>
      <c r="AE22" s="272" t="n"/>
      <c r="AF22" s="739" t="n"/>
      <c r="AG22" s="271" t="n"/>
      <c r="AH22" s="271" t="n"/>
      <c r="AI22" s="272" t="n"/>
      <c r="AJ22" s="739" t="n"/>
      <c r="AK22" s="271" t="n"/>
      <c r="AL22" s="272" t="n"/>
      <c r="AM22" s="741" t="n"/>
      <c r="AN22" s="274" t="n"/>
    </row>
    <row r="23" ht="20" customHeight="1">
      <c r="A23" s="742" t="n">
        <v>2</v>
      </c>
      <c r="B23" s="278" t="n"/>
      <c r="C23" s="305" t="inlineStr">
        <is>
          <t>RSK</t>
        </is>
      </c>
      <c r="D23" s="277" t="n"/>
      <c r="E23" s="278" t="n"/>
      <c r="F23" s="309" t="inlineStr">
        <is>
          <t>Customer / quality package is identified.</t>
        </is>
      </c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8" t="n"/>
      <c r="T23" s="307" t="inlineStr">
        <is>
          <t>CSR / cert / packaging rules are visible.</t>
        </is>
      </c>
      <c r="U23" s="277" t="n"/>
      <c r="V23" s="277" t="n"/>
      <c r="W23" s="277" t="n"/>
      <c r="X23" s="277" t="n"/>
      <c r="Y23" s="277" t="n"/>
      <c r="Z23" s="277" t="n"/>
      <c r="AA23" s="277" t="n"/>
      <c r="AB23" s="277" t="n"/>
      <c r="AC23" s="277" t="n"/>
      <c r="AD23" s="277" t="n"/>
      <c r="AE23" s="278" t="n"/>
      <c r="AF23" s="306" t="n"/>
      <c r="AG23" s="277" t="n"/>
      <c r="AH23" s="277" t="n"/>
      <c r="AI23" s="278" t="n"/>
      <c r="AJ23" s="306" t="n"/>
      <c r="AK23" s="277" t="n"/>
      <c r="AL23" s="278" t="n"/>
      <c r="AM23" s="743" t="n"/>
      <c r="AN23" s="280" t="n"/>
    </row>
    <row r="24" ht="20" customHeight="1">
      <c r="A24" s="742" t="n">
        <v>3</v>
      </c>
      <c r="B24" s="278" t="n"/>
      <c r="C24" s="305" t="inlineStr">
        <is>
          <t>RSK</t>
        </is>
      </c>
      <c r="D24" s="277" t="n"/>
      <c r="E24" s="278" t="n"/>
      <c r="F24" s="306" t="inlineStr">
        <is>
          <t>Material / outsource path is feasible.</t>
        </is>
      </c>
      <c r="G24" s="277" t="n"/>
      <c r="H24" s="277" t="n"/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8" t="n"/>
      <c r="T24" s="307" t="inlineStr">
        <is>
          <t>Critical source path is not assumed.</t>
        </is>
      </c>
      <c r="U24" s="277" t="n"/>
      <c r="V24" s="277" t="n"/>
      <c r="W24" s="277" t="n"/>
      <c r="X24" s="277" t="n"/>
      <c r="Y24" s="277" t="n"/>
      <c r="Z24" s="277" t="n"/>
      <c r="AA24" s="277" t="n"/>
      <c r="AB24" s="277" t="n"/>
      <c r="AC24" s="277" t="n"/>
      <c r="AD24" s="277" t="n"/>
      <c r="AE24" s="278" t="n"/>
      <c r="AF24" s="306" t="n"/>
      <c r="AG24" s="277" t="n"/>
      <c r="AH24" s="277" t="n"/>
      <c r="AI24" s="278" t="n"/>
      <c r="AJ24" s="306" t="n"/>
      <c r="AK24" s="277" t="n"/>
      <c r="AL24" s="278" t="n"/>
      <c r="AM24" s="743" t="n"/>
      <c r="AN24" s="280" t="n"/>
    </row>
    <row r="25" ht="20" customHeight="1">
      <c r="A25" s="742" t="n">
        <v>4</v>
      </c>
      <c r="B25" s="278" t="n"/>
      <c r="C25" s="305" t="inlineStr">
        <is>
          <t>RSK</t>
        </is>
      </c>
      <c r="D25" s="277" t="n"/>
      <c r="E25" s="278" t="n"/>
      <c r="F25" s="309" t="inlineStr">
        <is>
          <t>Machine / tooling / gage readiness exists.</t>
        </is>
      </c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8" t="n"/>
      <c r="T25" s="307" t="inlineStr">
        <is>
          <t>Capability and readiness path are visible.</t>
        </is>
      </c>
      <c r="U25" s="277" t="n"/>
      <c r="V25" s="277" t="n"/>
      <c r="W25" s="277" t="n"/>
      <c r="X25" s="277" t="n"/>
      <c r="Y25" s="277" t="n"/>
      <c r="Z25" s="277" t="n"/>
      <c r="AA25" s="277" t="n"/>
      <c r="AB25" s="277" t="n"/>
      <c r="AC25" s="277" t="n"/>
      <c r="AD25" s="277" t="n"/>
      <c r="AE25" s="278" t="n"/>
      <c r="AF25" s="306" t="n"/>
      <c r="AG25" s="277" t="n"/>
      <c r="AH25" s="277" t="n"/>
      <c r="AI25" s="278" t="n"/>
      <c r="AJ25" s="306" t="n"/>
      <c r="AK25" s="277" t="n"/>
      <c r="AL25" s="278" t="n"/>
      <c r="AM25" s="743" t="n"/>
      <c r="AN25" s="280" t="n"/>
    </row>
    <row r="26" ht="20" customHeight="1">
      <c r="A26" s="742" t="n">
        <v>5</v>
      </c>
      <c r="B26" s="278" t="n"/>
      <c r="C26" s="305" t="inlineStr">
        <is>
          <t>RSK</t>
        </is>
      </c>
      <c r="D26" s="277" t="n"/>
      <c r="E26" s="278" t="n"/>
      <c r="F26" s="306" t="inlineStr">
        <is>
          <t>First-piece / FAI strategy is defined.</t>
        </is>
      </c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8" t="n"/>
      <c r="T26" s="307" t="inlineStr">
        <is>
          <t>QA gate logic and owner are visible.</t>
        </is>
      </c>
      <c r="U26" s="277" t="n"/>
      <c r="V26" s="277" t="n"/>
      <c r="W26" s="277" t="n"/>
      <c r="X26" s="277" t="n"/>
      <c r="Y26" s="277" t="n"/>
      <c r="Z26" s="277" t="n"/>
      <c r="AA26" s="277" t="n"/>
      <c r="AB26" s="277" t="n"/>
      <c r="AC26" s="277" t="n"/>
      <c r="AD26" s="277" t="n"/>
      <c r="AE26" s="278" t="n"/>
      <c r="AF26" s="306" t="n"/>
      <c r="AG26" s="277" t="n"/>
      <c r="AH26" s="277" t="n"/>
      <c r="AI26" s="278" t="n"/>
      <c r="AJ26" s="306" t="n"/>
      <c r="AK26" s="277" t="n"/>
      <c r="AL26" s="278" t="n"/>
      <c r="AM26" s="743" t="n"/>
      <c r="AN26" s="280" t="n"/>
    </row>
    <row r="27" ht="20" customHeight="1">
      <c r="A27" s="742" t="n">
        <v>6</v>
      </c>
      <c r="B27" s="278" t="n"/>
      <c r="C27" s="305" t="inlineStr">
        <is>
          <t>RSK</t>
        </is>
      </c>
      <c r="D27" s="277" t="n"/>
      <c r="E27" s="278" t="n"/>
      <c r="F27" s="309" t="inlineStr">
        <is>
          <t>Delivery / ship logic is feasible.</t>
        </is>
      </c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8" t="n"/>
      <c r="T27" s="307" t="inlineStr">
        <is>
          <t>Commitment and ship impact are realistic.</t>
        </is>
      </c>
      <c r="U27" s="277" t="n"/>
      <c r="V27" s="277" t="n"/>
      <c r="W27" s="277" t="n"/>
      <c r="X27" s="277" t="n"/>
      <c r="Y27" s="277" t="n"/>
      <c r="Z27" s="277" t="n"/>
      <c r="AA27" s="277" t="n"/>
      <c r="AB27" s="277" t="n"/>
      <c r="AC27" s="277" t="n"/>
      <c r="AD27" s="277" t="n"/>
      <c r="AE27" s="278" t="n"/>
      <c r="AF27" s="306" t="n"/>
      <c r="AG27" s="277" t="n"/>
      <c r="AH27" s="277" t="n"/>
      <c r="AI27" s="278" t="n"/>
      <c r="AJ27" s="306" t="n"/>
      <c r="AK27" s="277" t="n"/>
      <c r="AL27" s="278" t="n"/>
      <c r="AM27" s="743" t="n"/>
      <c r="AN27" s="280" t="n"/>
    </row>
    <row r="28" ht="20" customHeight="1">
      <c r="A28" s="742" t="n">
        <v>7</v>
      </c>
      <c r="B28" s="278" t="n"/>
      <c r="C28" s="305" t="inlineStr">
        <is>
          <t>RSK</t>
        </is>
      </c>
      <c r="D28" s="277" t="n"/>
      <c r="E28" s="278" t="n"/>
      <c r="F28" s="306" t="inlineStr">
        <is>
          <t>Top abnormal / failure mode is explicit.</t>
        </is>
      </c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8" t="n"/>
      <c r="T28" s="307" t="inlineStr">
        <is>
          <t>Most severe risk is named, not hidden.</t>
        </is>
      </c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8" t="n"/>
      <c r="AF28" s="306" t="n"/>
      <c r="AG28" s="277" t="n"/>
      <c r="AH28" s="277" t="n"/>
      <c r="AI28" s="278" t="n"/>
      <c r="AJ28" s="306" t="n"/>
      <c r="AK28" s="277" t="n"/>
      <c r="AL28" s="278" t="n"/>
      <c r="AM28" s="743" t="n"/>
      <c r="AN28" s="280" t="n"/>
    </row>
    <row r="29" ht="20" customHeight="1">
      <c r="A29" s="742" t="n">
        <v>8</v>
      </c>
      <c r="B29" s="278" t="n"/>
      <c r="C29" s="305" t="inlineStr">
        <is>
          <t>RSK</t>
        </is>
      </c>
      <c r="D29" s="277" t="n"/>
      <c r="E29" s="278" t="n"/>
      <c r="F29" s="309" t="inlineStr">
        <is>
          <t>Containment / contingency exists.</t>
        </is>
      </c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8" t="n"/>
      <c r="T29" s="307" t="inlineStr">
        <is>
          <t>Recovery path exists if primary plan fails.</t>
        </is>
      </c>
      <c r="U29" s="277" t="n"/>
      <c r="V29" s="277" t="n"/>
      <c r="W29" s="277" t="n"/>
      <c r="X29" s="277" t="n"/>
      <c r="Y29" s="277" t="n"/>
      <c r="Z29" s="277" t="n"/>
      <c r="AA29" s="277" t="n"/>
      <c r="AB29" s="277" t="n"/>
      <c r="AC29" s="277" t="n"/>
      <c r="AD29" s="277" t="n"/>
      <c r="AE29" s="278" t="n"/>
      <c r="AF29" s="306" t="n"/>
      <c r="AG29" s="277" t="n"/>
      <c r="AH29" s="277" t="n"/>
      <c r="AI29" s="278" t="n"/>
      <c r="AJ29" s="306" t="n"/>
      <c r="AK29" s="277" t="n"/>
      <c r="AL29" s="278" t="n"/>
      <c r="AM29" s="743" t="n"/>
      <c r="AN29" s="280" t="n"/>
    </row>
    <row r="30" ht="20" customHeight="1">
      <c r="A30" s="742" t="n">
        <v>9</v>
      </c>
      <c r="B30" s="278" t="n"/>
      <c r="C30" s="305" t="inlineStr">
        <is>
          <t>RSK</t>
        </is>
      </c>
      <c r="D30" s="277" t="n"/>
      <c r="E30" s="278" t="n"/>
      <c r="F30" s="306" t="inlineStr">
        <is>
          <t>Conditional-release authority is explicit.</t>
        </is>
      </c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8" t="n"/>
      <c r="T30" s="307" t="inlineStr">
        <is>
          <t>No conditional release without named owner.</t>
        </is>
      </c>
      <c r="U30" s="277" t="n"/>
      <c r="V30" s="277" t="n"/>
      <c r="W30" s="277" t="n"/>
      <c r="X30" s="277" t="n"/>
      <c r="Y30" s="277" t="n"/>
      <c r="Z30" s="277" t="n"/>
      <c r="AA30" s="277" t="n"/>
      <c r="AB30" s="277" t="n"/>
      <c r="AC30" s="277" t="n"/>
      <c r="AD30" s="277" t="n"/>
      <c r="AE30" s="278" t="n"/>
      <c r="AF30" s="306" t="n"/>
      <c r="AG30" s="277" t="n"/>
      <c r="AH30" s="277" t="n"/>
      <c r="AI30" s="278" t="n"/>
      <c r="AJ30" s="306" t="n"/>
      <c r="AK30" s="277" t="n"/>
      <c r="AL30" s="278" t="n"/>
      <c r="AM30" s="743" t="n"/>
      <c r="AN30" s="280" t="n"/>
    </row>
    <row r="31" ht="20" customHeight="1">
      <c r="A31" s="744" t="n">
        <v>10</v>
      </c>
      <c r="B31" s="285" t="n"/>
      <c r="C31" s="310" t="inlineStr">
        <is>
          <t>RSK</t>
        </is>
      </c>
      <c r="D31" s="283" t="n"/>
      <c r="E31" s="285" t="n"/>
      <c r="F31" s="311" t="inlineStr">
        <is>
          <t>Evidence path and dossier traceability exist.</t>
        </is>
      </c>
      <c r="G31" s="283" t="n"/>
      <c r="H31" s="283" t="n"/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5" t="n"/>
      <c r="T31" s="312" t="inlineStr">
        <is>
          <t>Decision can be reconstructed later.</t>
        </is>
      </c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5" t="n"/>
      <c r="AF31" s="745" t="n"/>
      <c r="AG31" s="283" t="n"/>
      <c r="AH31" s="283" t="n"/>
      <c r="AI31" s="285" t="n"/>
      <c r="AJ31" s="745" t="n"/>
      <c r="AK31" s="283" t="n"/>
      <c r="AL31" s="285" t="n"/>
      <c r="AM31" s="746" t="n"/>
      <c r="AN31" s="287" t="n"/>
    </row>
    <row r="32" ht="3" customHeight="1">
      <c r="A32" s="654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</row>
    <row r="33" ht="18" customHeight="1">
      <c r="A33" s="730" t="inlineStr">
        <is>
          <t>4.  OPEN RISK ACTIONS / CONTAINMENT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90" t="n"/>
    </row>
    <row r="34" ht="18" customHeight="1">
      <c r="A34" s="301" t="inlineStr">
        <is>
          <t>#</t>
        </is>
      </c>
      <c r="B34" s="272" t="n"/>
      <c r="C34" s="302" t="inlineStr">
        <is>
          <t>Risk / Readiness Gap</t>
        </is>
      </c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2" t="n"/>
      <c r="M34" s="302" t="inlineStr">
        <is>
          <t>Required Containment / Action</t>
        </is>
      </c>
      <c r="N34" s="271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2" t="n"/>
      <c r="Y34" s="302" t="inlineStr">
        <is>
          <t>Owner</t>
        </is>
      </c>
      <c r="Z34" s="271" t="n"/>
      <c r="AA34" s="271" t="n"/>
      <c r="AB34" s="271" t="n"/>
      <c r="AC34" s="272" t="n"/>
      <c r="AD34" s="302" t="inlineStr">
        <is>
          <t>Due Date</t>
        </is>
      </c>
      <c r="AE34" s="271" t="n"/>
      <c r="AF34" s="271" t="n"/>
      <c r="AG34" s="271" t="n"/>
      <c r="AH34" s="272" t="n"/>
      <c r="AI34" s="302" t="inlineStr">
        <is>
          <t>Status</t>
        </is>
      </c>
      <c r="AJ34" s="271" t="n"/>
      <c r="AK34" s="272" t="n"/>
      <c r="AL34" s="303" t="inlineStr">
        <is>
          <t>Verified by</t>
        </is>
      </c>
      <c r="AM34" s="271" t="n"/>
      <c r="AN34" s="274" t="n"/>
    </row>
    <row r="35" ht="20" customHeight="1">
      <c r="A35" s="747" t="n">
        <v>1</v>
      </c>
      <c r="B35" s="272" t="n"/>
      <c r="C35" s="739" t="n"/>
      <c r="D35" s="271" t="n"/>
      <c r="E35" s="271" t="n"/>
      <c r="F35" s="271" t="n"/>
      <c r="G35" s="271" t="n"/>
      <c r="H35" s="271" t="n"/>
      <c r="I35" s="271" t="n"/>
      <c r="J35" s="271" t="n"/>
      <c r="K35" s="271" t="n"/>
      <c r="L35" s="272" t="n"/>
      <c r="M35" s="739" t="n"/>
      <c r="N35" s="271" t="n"/>
      <c r="O35" s="271" t="n"/>
      <c r="P35" s="271" t="n"/>
      <c r="Q35" s="271" t="n"/>
      <c r="R35" s="271" t="n"/>
      <c r="S35" s="271" t="n"/>
      <c r="T35" s="271" t="n"/>
      <c r="U35" s="271" t="n"/>
      <c r="V35" s="271" t="n"/>
      <c r="W35" s="271" t="n"/>
      <c r="X35" s="272" t="n"/>
      <c r="Y35" s="739" t="n"/>
      <c r="Z35" s="271" t="n"/>
      <c r="AA35" s="271" t="n"/>
      <c r="AB35" s="271" t="n"/>
      <c r="AC35" s="272" t="n"/>
      <c r="AD35" s="739" t="n"/>
      <c r="AE35" s="271" t="n"/>
      <c r="AF35" s="271" t="n"/>
      <c r="AG35" s="271" t="n"/>
      <c r="AH35" s="272" t="n"/>
      <c r="AI35" s="739" t="n"/>
      <c r="AJ35" s="271" t="n"/>
      <c r="AK35" s="272" t="n"/>
      <c r="AL35" s="741" t="n"/>
      <c r="AM35" s="271" t="n"/>
      <c r="AN35" s="274" t="n"/>
    </row>
    <row r="36" ht="20" customHeight="1">
      <c r="A36" s="748" t="n">
        <v>2</v>
      </c>
      <c r="B36" s="278" t="n"/>
      <c r="C36" s="306" t="n"/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8" t="n"/>
      <c r="M36" s="306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8" t="n"/>
      <c r="Y36" s="306" t="n"/>
      <c r="Z36" s="277" t="n"/>
      <c r="AA36" s="277" t="n"/>
      <c r="AB36" s="277" t="n"/>
      <c r="AC36" s="278" t="n"/>
      <c r="AD36" s="306" t="n"/>
      <c r="AE36" s="277" t="n"/>
      <c r="AF36" s="277" t="n"/>
      <c r="AG36" s="277" t="n"/>
      <c r="AH36" s="278" t="n"/>
      <c r="AI36" s="306" t="n"/>
      <c r="AJ36" s="277" t="n"/>
      <c r="AK36" s="278" t="n"/>
      <c r="AL36" s="743" t="n"/>
      <c r="AM36" s="277" t="n"/>
      <c r="AN36" s="280" t="n"/>
    </row>
    <row r="37" ht="20" customHeight="1">
      <c r="A37" s="748" t="n">
        <v>3</v>
      </c>
      <c r="B37" s="278" t="n"/>
      <c r="C37" s="306" t="n"/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8" t="n"/>
      <c r="M37" s="306" t="n"/>
      <c r="N37" s="277" t="n"/>
      <c r="O37" s="277" t="n"/>
      <c r="P37" s="277" t="n"/>
      <c r="Q37" s="277" t="n"/>
      <c r="R37" s="277" t="n"/>
      <c r="S37" s="277" t="n"/>
      <c r="T37" s="277" t="n"/>
      <c r="U37" s="277" t="n"/>
      <c r="V37" s="277" t="n"/>
      <c r="W37" s="277" t="n"/>
      <c r="X37" s="278" t="n"/>
      <c r="Y37" s="306" t="n"/>
      <c r="Z37" s="277" t="n"/>
      <c r="AA37" s="277" t="n"/>
      <c r="AB37" s="277" t="n"/>
      <c r="AC37" s="278" t="n"/>
      <c r="AD37" s="306" t="n"/>
      <c r="AE37" s="277" t="n"/>
      <c r="AF37" s="277" t="n"/>
      <c r="AG37" s="277" t="n"/>
      <c r="AH37" s="278" t="n"/>
      <c r="AI37" s="306" t="n"/>
      <c r="AJ37" s="277" t="n"/>
      <c r="AK37" s="278" t="n"/>
      <c r="AL37" s="743" t="n"/>
      <c r="AM37" s="277" t="n"/>
      <c r="AN37" s="280" t="n"/>
    </row>
    <row r="38" ht="20" customHeight="1">
      <c r="A38" s="748" t="n">
        <v>4</v>
      </c>
      <c r="B38" s="278" t="n"/>
      <c r="C38" s="306" t="n"/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8" t="n"/>
      <c r="M38" s="306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7" t="n"/>
      <c r="X38" s="278" t="n"/>
      <c r="Y38" s="306" t="n"/>
      <c r="Z38" s="277" t="n"/>
      <c r="AA38" s="277" t="n"/>
      <c r="AB38" s="277" t="n"/>
      <c r="AC38" s="278" t="n"/>
      <c r="AD38" s="306" t="n"/>
      <c r="AE38" s="277" t="n"/>
      <c r="AF38" s="277" t="n"/>
      <c r="AG38" s="277" t="n"/>
      <c r="AH38" s="278" t="n"/>
      <c r="AI38" s="306" t="n"/>
      <c r="AJ38" s="277" t="n"/>
      <c r="AK38" s="278" t="n"/>
      <c r="AL38" s="743" t="n"/>
      <c r="AM38" s="277" t="n"/>
      <c r="AN38" s="280" t="n"/>
    </row>
    <row r="39" ht="20" customHeight="1">
      <c r="A39" s="749" t="n">
        <v>5</v>
      </c>
      <c r="B39" s="285" t="n"/>
      <c r="C39" s="745" t="n"/>
      <c r="D39" s="283" t="n"/>
      <c r="E39" s="283" t="n"/>
      <c r="F39" s="283" t="n"/>
      <c r="G39" s="283" t="n"/>
      <c r="H39" s="283" t="n"/>
      <c r="I39" s="283" t="n"/>
      <c r="J39" s="283" t="n"/>
      <c r="K39" s="283" t="n"/>
      <c r="L39" s="285" t="n"/>
      <c r="M39" s="745" t="n"/>
      <c r="N39" s="283" t="n"/>
      <c r="O39" s="283" t="n"/>
      <c r="P39" s="283" t="n"/>
      <c r="Q39" s="283" t="n"/>
      <c r="R39" s="283" t="n"/>
      <c r="S39" s="283" t="n"/>
      <c r="T39" s="283" t="n"/>
      <c r="U39" s="283" t="n"/>
      <c r="V39" s="283" t="n"/>
      <c r="W39" s="283" t="n"/>
      <c r="X39" s="285" t="n"/>
      <c r="Y39" s="745" t="n"/>
      <c r="Z39" s="283" t="n"/>
      <c r="AA39" s="283" t="n"/>
      <c r="AB39" s="283" t="n"/>
      <c r="AC39" s="285" t="n"/>
      <c r="AD39" s="745" t="n"/>
      <c r="AE39" s="283" t="n"/>
      <c r="AF39" s="283" t="n"/>
      <c r="AG39" s="283" t="n"/>
      <c r="AH39" s="285" t="n"/>
      <c r="AI39" s="745" t="n"/>
      <c r="AJ39" s="283" t="n"/>
      <c r="AK39" s="285" t="n"/>
      <c r="AL39" s="746" t="n"/>
      <c r="AM39" s="283" t="n"/>
      <c r="AN39" s="287" t="n"/>
    </row>
    <row r="40" ht="3" customHeight="1">
      <c r="A40" s="654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</row>
    <row r="41" ht="18" customHeight="1">
      <c r="A41" s="730" t="inlineStr">
        <is>
          <t>5.  APPROVAL / SIGN-OFF</t>
        </is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89" t="n"/>
      <c r="O41" s="289" t="n"/>
      <c r="P41" s="289" t="n"/>
      <c r="Q41" s="289" t="n"/>
      <c r="R41" s="289" t="n"/>
      <c r="S41" s="289" t="n"/>
      <c r="T41" s="289" t="n"/>
      <c r="U41" s="289" t="n"/>
      <c r="V41" s="289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  <c r="AM41" s="289" t="n"/>
      <c r="AN41" s="290" t="n"/>
    </row>
    <row r="42" ht="26" customHeight="1">
      <c r="A42" s="737" t="inlineStr">
        <is>
          <t>Prepared by</t>
        </is>
      </c>
      <c r="B42" s="271" t="n"/>
      <c r="C42" s="271" t="n"/>
      <c r="D42" s="271" t="n"/>
      <c r="E42" s="271" t="n"/>
      <c r="F42" s="271" t="n"/>
      <c r="G42" s="271" t="n"/>
      <c r="H42" s="271" t="n"/>
      <c r="I42" s="271" t="n"/>
      <c r="J42" s="271" t="n"/>
      <c r="K42" s="271" t="n"/>
      <c r="L42" s="271" t="n"/>
      <c r="M42" s="272" t="n"/>
      <c r="N42" s="750" t="inlineStr">
        <is>
          <t>Reviewed by</t>
        </is>
      </c>
      <c r="O42" s="271" t="n"/>
      <c r="P42" s="271" t="n"/>
      <c r="Q42" s="271" t="n"/>
      <c r="R42" s="271" t="n"/>
      <c r="S42" s="271" t="n"/>
      <c r="T42" s="271" t="n"/>
      <c r="U42" s="271" t="n"/>
      <c r="V42" s="271" t="n"/>
      <c r="W42" s="271" t="n"/>
      <c r="X42" s="271" t="n"/>
      <c r="Y42" s="271" t="n"/>
      <c r="Z42" s="272" t="n"/>
      <c r="AA42" s="751" t="inlineStr">
        <is>
          <t>Approved by</t>
        </is>
      </c>
      <c r="AB42" s="271" t="n"/>
      <c r="AC42" s="271" t="n"/>
      <c r="AD42" s="271" t="n"/>
      <c r="AE42" s="271" t="n"/>
      <c r="AF42" s="271" t="n"/>
      <c r="AG42" s="271" t="n"/>
      <c r="AH42" s="271" t="n"/>
      <c r="AI42" s="271" t="n"/>
      <c r="AJ42" s="271" t="n"/>
      <c r="AK42" s="271" t="n"/>
      <c r="AL42" s="271" t="n"/>
      <c r="AM42" s="271" t="n"/>
      <c r="AN42" s="274" t="n"/>
    </row>
    <row r="43" ht="26" customHeight="1">
      <c r="A43" s="752" t="inlineStr">
        <is>
          <t>Name  /  Signature  /  Date</t>
        </is>
      </c>
      <c r="M43" s="753" t="n"/>
      <c r="N43" s="754" t="inlineStr">
        <is>
          <t>Name  /  Signature  /  Date</t>
        </is>
      </c>
      <c r="Z43" s="753" t="n"/>
      <c r="AA43" s="755" t="inlineStr">
        <is>
          <t>Name  /  Signature  /  Date</t>
        </is>
      </c>
      <c r="AN43" s="320" t="n"/>
    </row>
    <row r="44" ht="20" customHeight="1">
      <c r="A44" s="275" t="n"/>
      <c r="M44" s="753" t="n"/>
      <c r="Z44" s="753" t="n"/>
      <c r="AN44" s="320" t="n"/>
    </row>
    <row r="45" ht="20" customHeight="1">
      <c r="A45" s="281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  <c r="L45" s="277" t="n"/>
      <c r="M45" s="278" t="n"/>
      <c r="N45" s="277" t="n"/>
      <c r="O45" s="277" t="n"/>
      <c r="P45" s="277" t="n"/>
      <c r="Q45" s="277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8" t="n"/>
      <c r="AA45" s="277" t="n"/>
      <c r="AB45" s="277" t="n"/>
      <c r="AC45" s="277" t="n"/>
      <c r="AD45" s="277" t="n"/>
      <c r="AE45" s="277" t="n"/>
      <c r="AF45" s="277" t="n"/>
      <c r="AG45" s="277" t="n"/>
      <c r="AH45" s="277" t="n"/>
      <c r="AI45" s="277" t="n"/>
      <c r="AJ45" s="277" t="n"/>
      <c r="AK45" s="277" t="n"/>
      <c r="AL45" s="277" t="n"/>
      <c r="AM45" s="277" t="n"/>
      <c r="AN45" s="280" t="n"/>
    </row>
    <row r="46" ht="3" customHeight="1">
      <c r="A46" s="654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</row>
    <row r="47" ht="18" customHeight="1">
      <c r="A47" s="730" t="inlineStr">
        <is>
          <t>NOTICE  —  Enter data only in designated white input cells. Do not add, delete or resize columns/rows. File naming: FRM-209_[RECORDID]_[YYYYMMDD].xlsx | Controlled source sets: Epicor / M365 / approved ANNEX references only.</t>
        </is>
      </c>
      <c r="B47" s="289" t="n"/>
      <c r="C47" s="289" t="n"/>
      <c r="D47" s="289" t="n"/>
      <c r="E47" s="289" t="n"/>
      <c r="F47" s="289" t="n"/>
      <c r="G47" s="289" t="n"/>
      <c r="H47" s="289" t="n"/>
      <c r="I47" s="289" t="n"/>
      <c r="J47" s="289" t="n"/>
      <c r="K47" s="289" t="n"/>
      <c r="L47" s="289" t="n"/>
      <c r="M47" s="289" t="n"/>
      <c r="N47" s="289" t="n"/>
      <c r="O47" s="289" t="n"/>
      <c r="P47" s="289" t="n"/>
      <c r="Q47" s="289" t="n"/>
      <c r="R47" s="289" t="n"/>
      <c r="S47" s="289" t="n"/>
      <c r="T47" s="289" t="n"/>
      <c r="U47" s="289" t="n"/>
      <c r="V47" s="289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  <c r="AM47" s="289" t="n"/>
      <c r="AN47" s="290" t="n"/>
    </row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181">
    <mergeCell ref="AM26:AN26"/>
    <mergeCell ref="A17:G17"/>
    <mergeCell ref="AF23:AI23"/>
    <mergeCell ref="T25:AE25"/>
    <mergeCell ref="C31:E31"/>
    <mergeCell ref="AB17:AN17"/>
    <mergeCell ref="AM29:AN29"/>
    <mergeCell ref="AM23:AN23"/>
    <mergeCell ref="C21:E21"/>
    <mergeCell ref="A14:AN14"/>
    <mergeCell ref="I4:AD4"/>
    <mergeCell ref="AD35:AH35"/>
    <mergeCell ref="AF22:AI22"/>
    <mergeCell ref="A9:G9"/>
    <mergeCell ref="I1:AD3"/>
    <mergeCell ref="AE4:AH4"/>
    <mergeCell ref="C23:E23"/>
    <mergeCell ref="U9:AA9"/>
    <mergeCell ref="AD34:AH34"/>
    <mergeCell ref="AM24:AN24"/>
    <mergeCell ref="C34:L34"/>
    <mergeCell ref="T22:AE22"/>
    <mergeCell ref="AL39:AN39"/>
    <mergeCell ref="A27:B27"/>
    <mergeCell ref="A11:G11"/>
    <mergeCell ref="T31:AE31"/>
    <mergeCell ref="AJ29:AL29"/>
    <mergeCell ref="AD36:AH36"/>
    <mergeCell ref="T28:AE28"/>
    <mergeCell ref="H9:T9"/>
    <mergeCell ref="AJ22:AL22"/>
    <mergeCell ref="AJ31:AL31"/>
    <mergeCell ref="F31:S31"/>
    <mergeCell ref="A22:B22"/>
    <mergeCell ref="F28:S28"/>
    <mergeCell ref="T30:AE30"/>
    <mergeCell ref="A35:B35"/>
    <mergeCell ref="AJ21:AL21"/>
    <mergeCell ref="AM25:AN25"/>
    <mergeCell ref="AI34:AK34"/>
    <mergeCell ref="T29:AE29"/>
    <mergeCell ref="AI1:AN1"/>
    <mergeCell ref="A28:B28"/>
    <mergeCell ref="M39:X39"/>
    <mergeCell ref="C25:E25"/>
    <mergeCell ref="A39:B39"/>
    <mergeCell ref="A42:M42"/>
    <mergeCell ref="A30:B30"/>
    <mergeCell ref="U18:AA18"/>
    <mergeCell ref="C39:L39"/>
    <mergeCell ref="A8:G8"/>
    <mergeCell ref="AF26:AI26"/>
    <mergeCell ref="C22:E22"/>
    <mergeCell ref="I5:AD5"/>
    <mergeCell ref="U8:AA8"/>
    <mergeCell ref="AB8:AN8"/>
    <mergeCell ref="AD38:AH38"/>
    <mergeCell ref="A47:AN47"/>
    <mergeCell ref="AM28:AN28"/>
    <mergeCell ref="C38:L38"/>
    <mergeCell ref="A10:G10"/>
    <mergeCell ref="H15:T15"/>
    <mergeCell ref="AE5:AH5"/>
    <mergeCell ref="U10:AA10"/>
    <mergeCell ref="AJ24:AL24"/>
    <mergeCell ref="AB10:AN10"/>
    <mergeCell ref="H18:T18"/>
    <mergeCell ref="Y39:AC39"/>
    <mergeCell ref="A20:AN20"/>
    <mergeCell ref="M37:X37"/>
    <mergeCell ref="F21:S21"/>
    <mergeCell ref="AB18:AN18"/>
    <mergeCell ref="AF27:AI27"/>
    <mergeCell ref="AI37:AK37"/>
    <mergeCell ref="H8:T8"/>
    <mergeCell ref="A37:B37"/>
    <mergeCell ref="AJ26:AL26"/>
    <mergeCell ref="AF24:AI24"/>
    <mergeCell ref="AI3:AN3"/>
    <mergeCell ref="AL35:AN35"/>
    <mergeCell ref="H10:T10"/>
    <mergeCell ref="A26:B26"/>
    <mergeCell ref="AJ25:AL25"/>
    <mergeCell ref="M38:X38"/>
    <mergeCell ref="AM30:AN30"/>
    <mergeCell ref="AI5:AN5"/>
    <mergeCell ref="C35:L35"/>
    <mergeCell ref="Y37:AC37"/>
    <mergeCell ref="F22:S22"/>
    <mergeCell ref="C24:E24"/>
    <mergeCell ref="AF25:AI25"/>
    <mergeCell ref="A7:AN7"/>
    <mergeCell ref="A12:G12"/>
    <mergeCell ref="H17:T17"/>
    <mergeCell ref="AF30:AI30"/>
    <mergeCell ref="A41:AN41"/>
    <mergeCell ref="C26:E26"/>
    <mergeCell ref="U12:AA12"/>
    <mergeCell ref="AB12:AN12"/>
    <mergeCell ref="AD37:AH37"/>
    <mergeCell ref="M35:X35"/>
    <mergeCell ref="C36:L36"/>
    <mergeCell ref="AE1:AH1"/>
    <mergeCell ref="A34:B34"/>
    <mergeCell ref="F29:S29"/>
    <mergeCell ref="AD39:AH39"/>
    <mergeCell ref="AI36:AK36"/>
    <mergeCell ref="AL37:AN37"/>
    <mergeCell ref="AF31:AI31"/>
    <mergeCell ref="A33:AN33"/>
    <mergeCell ref="H12:T12"/>
    <mergeCell ref="A36:B36"/>
    <mergeCell ref="AM22:AN22"/>
    <mergeCell ref="T21:AE21"/>
    <mergeCell ref="AF28:AI28"/>
    <mergeCell ref="C37:L37"/>
    <mergeCell ref="T26:AE26"/>
    <mergeCell ref="AA43:AN45"/>
    <mergeCell ref="Y35:AC35"/>
    <mergeCell ref="F24:S24"/>
    <mergeCell ref="T23:AE23"/>
    <mergeCell ref="A1:H5"/>
    <mergeCell ref="F26:S26"/>
    <mergeCell ref="A21:B21"/>
    <mergeCell ref="C28:E28"/>
    <mergeCell ref="AI2:AN2"/>
    <mergeCell ref="AE3:AH3"/>
    <mergeCell ref="T27:AE27"/>
    <mergeCell ref="A16:G16"/>
    <mergeCell ref="U17:AA17"/>
    <mergeCell ref="A23:B23"/>
    <mergeCell ref="C30:E30"/>
    <mergeCell ref="U11:AA11"/>
    <mergeCell ref="AB16:AN16"/>
    <mergeCell ref="AL34:AN34"/>
    <mergeCell ref="AI38:AK38"/>
    <mergeCell ref="F27:S27"/>
    <mergeCell ref="A38:B38"/>
    <mergeCell ref="A18:G18"/>
    <mergeCell ref="N42:Z42"/>
    <mergeCell ref="AJ27:AL27"/>
    <mergeCell ref="AB9:AN9"/>
    <mergeCell ref="AM21:AN21"/>
    <mergeCell ref="N43:Z45"/>
    <mergeCell ref="AL36:AN36"/>
    <mergeCell ref="H11:T11"/>
    <mergeCell ref="AM27:AN27"/>
    <mergeCell ref="AB11:AN11"/>
    <mergeCell ref="A24:B24"/>
    <mergeCell ref="Y38:AC38"/>
    <mergeCell ref="AJ28:AL28"/>
    <mergeCell ref="AI4:AN4"/>
    <mergeCell ref="F25:S25"/>
    <mergeCell ref="AI35:AK35"/>
    <mergeCell ref="AJ30:AL30"/>
    <mergeCell ref="C27:E27"/>
    <mergeCell ref="F30:S30"/>
    <mergeCell ref="A25:B25"/>
    <mergeCell ref="M36:X36"/>
    <mergeCell ref="A43:M45"/>
    <mergeCell ref="A15:G15"/>
    <mergeCell ref="U15:AA15"/>
    <mergeCell ref="AB15:AN15"/>
    <mergeCell ref="AL38:AN38"/>
    <mergeCell ref="Y34:AC34"/>
    <mergeCell ref="AF29:AI29"/>
    <mergeCell ref="AI39:AK39"/>
    <mergeCell ref="F23:S23"/>
    <mergeCell ref="AE2:AH2"/>
    <mergeCell ref="M34:X34"/>
    <mergeCell ref="Y36:AC36"/>
    <mergeCell ref="U16:AA16"/>
    <mergeCell ref="AM31:AN31"/>
    <mergeCell ref="T24:AE24"/>
    <mergeCell ref="A29:B29"/>
    <mergeCell ref="AJ23:AL23"/>
    <mergeCell ref="AF21:AI21"/>
    <mergeCell ref="C29:E29"/>
    <mergeCell ref="AA42:AN42"/>
    <mergeCell ref="A31:B31"/>
    <mergeCell ref="H16:T16"/>
  </mergeCells>
  <dataValidations count="38">
    <dataValidation sqref="AF22" showDropDown="0" showInputMessage="0" showErrorMessage="0" allowBlank="1" error="Use controlled value from VAL_RESULT_CORE." prompt="Select from VAL_RESULT_CORE." type="list">
      <formula1>=VAL_RESULT_CORE</formula1>
    </dataValidation>
    <dataValidation sqref="AF23" showDropDown="0" showInputMessage="0" showErrorMessage="0" allowBlank="1" error="Use controlled value from VAL_RESULT_CORE." prompt="Select from VAL_RESULT_CORE." type="list">
      <formula1>=VAL_RESULT_CORE</formula1>
    </dataValidation>
    <dataValidation sqref="AF24" showDropDown="0" showInputMessage="0" showErrorMessage="0" allowBlank="1" error="Use controlled value from VAL_RESULT_CORE." prompt="Select from VAL_RESULT_CORE." type="list">
      <formula1>=VAL_RESULT_CORE</formula1>
    </dataValidation>
    <dataValidation sqref="AF25" showDropDown="0" showInputMessage="0" showErrorMessage="0" allowBlank="1" error="Use controlled value from VAL_RESULT_CORE." prompt="Select from VAL_RESULT_CORE." type="list">
      <formula1>=VAL_RESULT_CORE</formula1>
    </dataValidation>
    <dataValidation sqref="AF26" showDropDown="0" showInputMessage="0" showErrorMessage="0" allowBlank="1" error="Use controlled value from VAL_RESULT_CORE." prompt="Select from VAL_RESULT_CORE." type="list">
      <formula1>=VAL_RESULT_CORE</formula1>
    </dataValidation>
    <dataValidation sqref="AF27" showDropDown="0" showInputMessage="0" showErrorMessage="0" allowBlank="1" error="Use controlled value from VAL_RESULT_CORE." prompt="Select from VAL_RESULT_CORE." type="list">
      <formula1>=VAL_RESULT_CORE</formula1>
    </dataValidation>
    <dataValidation sqref="AF28" showDropDown="0" showInputMessage="0" showErrorMessage="0" allowBlank="1" error="Use controlled value from VAL_RESULT_CORE." prompt="Select from VAL_RESULT_CORE." type="list">
      <formula1>=VAL_RESULT_CORE</formula1>
    </dataValidation>
    <dataValidation sqref="AF29" showDropDown="0" showInputMessage="0" showErrorMessage="0" allowBlank="1" error="Use controlled value from VAL_RESULT_CORE." prompt="Select from VAL_RESULT_CORE." type="list">
      <formula1>=VAL_RESULT_CORE</formula1>
    </dataValidation>
    <dataValidation sqref="AF30" showDropDown="0" showInputMessage="0" showErrorMessage="0" allowBlank="1" error="Use controlled value from VAL_RESULT_CORE." prompt="Select from VAL_RESULT_CORE." type="list">
      <formula1>=VAL_RESULT_CORE</formula1>
    </dataValidation>
    <dataValidation sqref="AF31" showDropDown="0" showInputMessage="0" showErrorMessage="0" allowBlank="1" error="Use controlled value from VAL_RESULT_CORE." prompt="Select from VAL_RESULT_CORE." type="list">
      <formula1>=VAL_RESULT_CORE</formula1>
    </dataValidation>
    <dataValidation sqref="AJ22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3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4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5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6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7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8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29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30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J31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AI35" showDropDown="0" showInputMessage="0" showErrorMessage="0" allowBlank="1" error="Use controlled value from VAL_STATUS_CORE." prompt="Select from VAL_STATUS_CORE." type="list">
      <formula1>=VAL_STATUS_CORE</formula1>
    </dataValidation>
    <dataValidation sqref="AI36" showDropDown="0" showInputMessage="0" showErrorMessage="0" allowBlank="1" error="Use controlled value from VAL_STATUS_CORE." prompt="Select from VAL_STATUS_CORE." type="list">
      <formula1>=VAL_STATUS_CORE</formula1>
    </dataValidation>
    <dataValidation sqref="AI37" showDropDown="0" showInputMessage="0" showErrorMessage="0" allowBlank="1" error="Use controlled value from VAL_STATUS_CORE." prompt="Select from VAL_STATUS_CORE." type="list">
      <formula1>=VAL_STATUS_CORE</formula1>
    </dataValidation>
    <dataValidation sqref="AI38" showDropDown="0" showInputMessage="0" showErrorMessage="0" allowBlank="1" error="Use controlled value from VAL_STATUS_CORE." prompt="Select from VAL_STATUS_CORE." type="list">
      <formula1>=VAL_STATUS_CORE</formula1>
    </dataValidation>
    <dataValidation sqref="AI39" showDropDown="0" showInputMessage="0" showErrorMessage="0" allowBlank="1" error="Use controlled value from VAL_STATUS_CORE." prompt="Select from VAL_STATUS_CORE." type="list">
      <formula1>=VAL_STATUS_CORE</formula1>
    </dataValidation>
    <dataValidation sqref="Y35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Y36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Y37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Y38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Y39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H8" showDropDown="0" showInputMessage="0" showErrorMessage="0" allowBlank="1" error="Use controlled value from REF_JOB_WO_MASTER." prompt="Select from REF_JOB_WO_MASTER." type="list">
      <formula1>=REF_JOB_WO_MASTER</formula1>
    </dataValidation>
    <dataValidation sqref="H9" showDropDown="0" showInputMessage="0" showErrorMessage="0" allowBlank="1" error="Use controlled value from REF_CUSTOMER_MASTER." prompt="Select from REF_CUSTOMER_MASTER." type="list">
      <formula1>=REF_CUSTOMER_MASTER</formula1>
    </dataValidation>
    <dataValidation sqref="AB9" showDropDown="0" showInputMessage="0" showErrorMessage="0" allowBlank="1" error="Use controlled value from REF_PART_REV_MASTER." prompt="Select from REF_PART_REV_MASTER." type="list">
      <formula1>=REF_PART_REV_MASTER</formula1>
    </dataValidation>
    <dataValidation sqref="H11" showDropDown="0" showInputMessage="0" showErrorMessage="0" allowBlank="1" error="Use controlled value from VAL_RISK_LEVEL_CORE." prompt="Select from VAL_RISK_LEVEL_CORE." type="list">
      <formula1>=VAL_RISK_LEVEL_CORE</formula1>
    </dataValidation>
    <dataValidation sqref="AB11" showDropDown="0" showInputMessage="0" showErrorMessage="0" allowBlank="1" error="Use controlled value from VAL_RISK_LEVEL_CORE." prompt="Select from VAL_RISK_LEVEL_CORE." type="list">
      <formula1>=VAL_RISK_LEVEL_CORE</formula1>
    </dataValidation>
    <dataValidation sqref="AB12" showDropDown="0" showInputMessage="0" showErrorMessage="0" allowBlank="1" error="Use controlled value from VAL_STATUS_CORE." prompt="Select from VAL_STATUS_CORE." type="list">
      <formula1>=VAL_STATUS_CORE</formula1>
    </dataValidation>
    <dataValidation sqref="AB15" showDropDown="0" showInputMessage="0" showErrorMessage="0" allowBlank="1" error="Use controlled value from VAL_DECISION_GATE_CORE." prompt="Select from VAL_DECISION_GATE_CORE." type="list">
      <formula1>=VAL_DECISION_GATE_CORE</formula1>
    </dataValidation>
    <dataValidation sqref="AB18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headings="0" gridLines="0"/>
  <pageMargins left="0.197" right="0.197" top="0.197" bottom="0.197" header="0.1" footer="0.1"/>
  <pageSetup orientation="portrait" paperSize="9" fitToHeight="0" fitToWidth="1"/>
  <headerFooter>
    <oddHeader/>
    <oddFooter>&amp;C&amp;"Segoe UI"&amp;7 FRM-209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hidden="1" width="2.33" customWidth="1" min="5" max="16384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402" t="inlineStr">
        <is>
          <t>VAL_RESULT_CORE</t>
        </is>
      </c>
      <c r="B1" s="402" t="inlineStr">
        <is>
          <t>VAL_DECISION_GATE_CORE</t>
        </is>
      </c>
      <c r="C1" s="402" t="inlineStr">
        <is>
          <t>VAL_STATUS_CORE</t>
        </is>
      </c>
      <c r="D1" s="402" t="inlineStr">
        <is>
          <t>VAL_RISK_LEVEL_CORE</t>
        </is>
      </c>
      <c r="E1" s="402" t="n"/>
      <c r="F1" s="402" t="n"/>
      <c r="G1" s="402" t="n"/>
      <c r="H1" s="402" t="n"/>
      <c r="I1" s="402" t="n"/>
      <c r="J1" s="402" t="n"/>
      <c r="K1" s="402" t="n"/>
      <c r="L1" s="402" t="n"/>
      <c r="M1" s="402" t="n"/>
      <c r="N1" s="402" t="n"/>
      <c r="O1" s="402" t="n"/>
      <c r="P1" s="402" t="n"/>
      <c r="Q1" s="402" t="n"/>
      <c r="R1" s="402" t="n"/>
      <c r="S1" s="402" t="n"/>
      <c r="T1" s="402" t="n"/>
      <c r="U1" s="402" t="n"/>
      <c r="V1" s="402" t="n"/>
      <c r="W1" s="402" t="n"/>
      <c r="X1" s="402" t="n"/>
      <c r="Y1" s="402" t="n"/>
      <c r="Z1" s="402" t="n"/>
      <c r="AA1" s="402" t="n"/>
      <c r="AB1" s="402" t="n"/>
      <c r="AC1" s="402" t="n"/>
      <c r="AD1" s="402" t="n"/>
      <c r="AE1" s="402" t="n"/>
      <c r="AF1" s="402" t="n"/>
      <c r="AG1" s="402" t="n"/>
      <c r="AH1" s="402" t="n"/>
      <c r="AI1" s="402" t="n"/>
      <c r="AJ1" s="402" t="n"/>
      <c r="AK1" s="402" t="n"/>
      <c r="AL1" s="402" t="n"/>
      <c r="AM1" s="402" t="n"/>
      <c r="AN1" s="402" t="n"/>
    </row>
    <row r="2">
      <c r="A2" s="402" t="inlineStr">
        <is>
          <t>PASS</t>
        </is>
      </c>
      <c r="B2" s="402" t="inlineStr">
        <is>
          <t>APPROVED</t>
        </is>
      </c>
      <c r="C2" s="402" t="inlineStr">
        <is>
          <t>OPEN</t>
        </is>
      </c>
      <c r="D2" s="402" t="inlineStr">
        <is>
          <t>LOW</t>
        </is>
      </c>
      <c r="E2" s="402" t="n"/>
      <c r="F2" s="402" t="n"/>
      <c r="G2" s="402" t="n"/>
      <c r="H2" s="402" t="n"/>
      <c r="I2" s="402" t="n"/>
      <c r="J2" s="402" t="n"/>
      <c r="K2" s="402" t="n"/>
      <c r="L2" s="402" t="n"/>
      <c r="M2" s="402" t="n"/>
      <c r="N2" s="402" t="n"/>
      <c r="O2" s="402" t="n"/>
      <c r="P2" s="402" t="n"/>
      <c r="Q2" s="402" t="n"/>
      <c r="R2" s="402" t="n"/>
      <c r="S2" s="402" t="n"/>
      <c r="T2" s="402" t="n"/>
      <c r="U2" s="402" t="n"/>
      <c r="V2" s="402" t="n"/>
      <c r="W2" s="402" t="n"/>
      <c r="X2" s="402" t="n"/>
      <c r="Y2" s="402" t="n"/>
      <c r="Z2" s="402" t="n"/>
      <c r="AA2" s="402" t="n"/>
      <c r="AB2" s="402" t="n"/>
      <c r="AC2" s="402" t="n"/>
      <c r="AD2" s="402" t="n"/>
      <c r="AE2" s="402" t="n"/>
      <c r="AF2" s="402" t="n"/>
      <c r="AG2" s="402" t="n"/>
      <c r="AH2" s="402" t="n"/>
      <c r="AI2" s="402" t="n"/>
      <c r="AJ2" s="402" t="n"/>
      <c r="AK2" s="402" t="n"/>
      <c r="AL2" s="402" t="n"/>
      <c r="AM2" s="402" t="n"/>
      <c r="AN2" s="402" t="n"/>
    </row>
    <row r="3">
      <c r="A3" s="402" t="inlineStr">
        <is>
          <t>HOLD</t>
        </is>
      </c>
      <c r="B3" s="402" t="inlineStr">
        <is>
          <t>CONDITIONAL</t>
        </is>
      </c>
      <c r="C3" s="402" t="inlineStr">
        <is>
          <t>IN PROGRESS</t>
        </is>
      </c>
      <c r="D3" s="402" t="inlineStr">
        <is>
          <t>MEDIUM</t>
        </is>
      </c>
      <c r="E3" s="402" t="n"/>
      <c r="F3" s="402" t="n"/>
      <c r="G3" s="402" t="n"/>
      <c r="H3" s="402" t="n"/>
      <c r="I3" s="402" t="n"/>
      <c r="J3" s="402" t="n"/>
      <c r="K3" s="402" t="n"/>
      <c r="L3" s="402" t="n"/>
      <c r="M3" s="402" t="n"/>
      <c r="N3" s="402" t="n"/>
      <c r="O3" s="402" t="n"/>
      <c r="P3" s="402" t="n"/>
      <c r="Q3" s="402" t="n"/>
      <c r="R3" s="402" t="n"/>
      <c r="S3" s="402" t="n"/>
      <c r="T3" s="402" t="n"/>
      <c r="U3" s="402" t="n"/>
      <c r="V3" s="402" t="n"/>
      <c r="W3" s="402" t="n"/>
      <c r="X3" s="402" t="n"/>
      <c r="Y3" s="402" t="n"/>
      <c r="Z3" s="402" t="n"/>
      <c r="AA3" s="402" t="n"/>
      <c r="AB3" s="402" t="n"/>
      <c r="AC3" s="402" t="n"/>
      <c r="AD3" s="402" t="n"/>
      <c r="AE3" s="402" t="n"/>
      <c r="AF3" s="402" t="n"/>
      <c r="AG3" s="402" t="n"/>
      <c r="AH3" s="402" t="n"/>
      <c r="AI3" s="402" t="n"/>
      <c r="AJ3" s="402" t="n"/>
      <c r="AK3" s="402" t="n"/>
      <c r="AL3" s="402" t="n"/>
      <c r="AM3" s="402" t="n"/>
      <c r="AN3" s="402" t="n"/>
    </row>
    <row r="4">
      <c r="A4" s="402" t="inlineStr">
        <is>
          <t>FAIL</t>
        </is>
      </c>
      <c r="B4" s="402" t="inlineStr">
        <is>
          <t>HOLD</t>
        </is>
      </c>
      <c r="C4" s="402" t="inlineStr">
        <is>
          <t>CLOSED</t>
        </is>
      </c>
      <c r="D4" s="402" t="inlineStr">
        <is>
          <t>HIGH</t>
        </is>
      </c>
      <c r="E4" s="402" t="n"/>
      <c r="F4" s="402" t="n"/>
      <c r="G4" s="402" t="n"/>
      <c r="H4" s="402" t="n"/>
      <c r="I4" s="402" t="n"/>
      <c r="J4" s="402" t="n"/>
      <c r="K4" s="402" t="n"/>
      <c r="L4" s="402" t="n"/>
      <c r="M4" s="402" t="n"/>
      <c r="N4" s="402" t="n"/>
      <c r="O4" s="402" t="n"/>
      <c r="P4" s="402" t="n"/>
      <c r="Q4" s="402" t="n"/>
      <c r="R4" s="402" t="n"/>
      <c r="S4" s="402" t="n"/>
      <c r="T4" s="402" t="n"/>
      <c r="U4" s="402" t="n"/>
      <c r="V4" s="402" t="n"/>
      <c r="W4" s="402" t="n"/>
      <c r="X4" s="402" t="n"/>
      <c r="Y4" s="402" t="n"/>
      <c r="Z4" s="402" t="n"/>
      <c r="AA4" s="402" t="n"/>
      <c r="AB4" s="402" t="n"/>
      <c r="AC4" s="402" t="n"/>
      <c r="AD4" s="402" t="n"/>
      <c r="AE4" s="402" t="n"/>
      <c r="AF4" s="402" t="n"/>
      <c r="AG4" s="402" t="n"/>
      <c r="AH4" s="402" t="n"/>
      <c r="AI4" s="402" t="n"/>
      <c r="AJ4" s="402" t="n"/>
      <c r="AK4" s="402" t="n"/>
      <c r="AL4" s="402" t="n"/>
      <c r="AM4" s="402" t="n"/>
      <c r="AN4" s="402" t="n"/>
    </row>
    <row r="5">
      <c r="A5" s="402" t="inlineStr">
        <is>
          <t>NA</t>
        </is>
      </c>
      <c r="B5" s="402" t="inlineStr">
        <is>
          <t>REJECT</t>
        </is>
      </c>
      <c r="C5" s="402" t="inlineStr">
        <is>
          <t>MONITORING</t>
        </is>
      </c>
      <c r="D5" s="402" t="inlineStr">
        <is>
          <t>CRITICAL</t>
        </is>
      </c>
      <c r="E5" s="402" t="n"/>
      <c r="F5" s="402" t="n"/>
      <c r="G5" s="402" t="n"/>
      <c r="H5" s="402" t="n"/>
      <c r="I5" s="402" t="n"/>
      <c r="J5" s="402" t="n"/>
      <c r="K5" s="402" t="n"/>
      <c r="L5" s="402" t="n"/>
      <c r="M5" s="402" t="n"/>
      <c r="N5" s="402" t="n"/>
      <c r="O5" s="402" t="n"/>
      <c r="P5" s="402" t="n"/>
      <c r="Q5" s="402" t="n"/>
      <c r="R5" s="402" t="n"/>
      <c r="S5" s="402" t="n"/>
      <c r="T5" s="402" t="n"/>
      <c r="U5" s="402" t="n"/>
      <c r="V5" s="402" t="n"/>
      <c r="W5" s="402" t="n"/>
      <c r="X5" s="402" t="n"/>
      <c r="Y5" s="402" t="n"/>
      <c r="Z5" s="402" t="n"/>
      <c r="AA5" s="402" t="n"/>
      <c r="AB5" s="402" t="n"/>
      <c r="AC5" s="402" t="n"/>
      <c r="AD5" s="402" t="n"/>
      <c r="AE5" s="402" t="n"/>
      <c r="AF5" s="402" t="n"/>
      <c r="AG5" s="402" t="n"/>
      <c r="AH5" s="402" t="n"/>
      <c r="AI5" s="402" t="n"/>
      <c r="AJ5" s="402" t="n"/>
      <c r="AK5" s="402" t="n"/>
      <c r="AL5" s="402" t="n"/>
      <c r="AM5" s="402" t="n"/>
      <c r="AN5" s="402" t="n"/>
    </row>
    <row r="6">
      <c r="A6" s="402" t="n"/>
      <c r="B6" s="402" t="n"/>
      <c r="C6" s="402" t="inlineStr">
        <is>
          <t>SUPERSEDED</t>
        </is>
      </c>
      <c r="D6" s="402" t="n"/>
      <c r="E6" s="402" t="n"/>
      <c r="F6" s="402" t="n"/>
      <c r="G6" s="402" t="n"/>
      <c r="H6" s="402" t="n"/>
      <c r="I6" s="402" t="n"/>
      <c r="J6" s="402" t="n"/>
      <c r="K6" s="402" t="n"/>
      <c r="L6" s="402" t="n"/>
      <c r="M6" s="402" t="n"/>
      <c r="N6" s="402" t="n"/>
      <c r="O6" s="402" t="n"/>
      <c r="P6" s="402" t="n"/>
      <c r="Q6" s="402" t="n"/>
      <c r="R6" s="402" t="n"/>
      <c r="S6" s="402" t="n"/>
      <c r="T6" s="402" t="n"/>
      <c r="U6" s="402" t="n"/>
      <c r="V6" s="402" t="n"/>
      <c r="W6" s="402" t="n"/>
      <c r="X6" s="402" t="n"/>
      <c r="Y6" s="402" t="n"/>
      <c r="Z6" s="402" t="n"/>
      <c r="AA6" s="402" t="n"/>
      <c r="AB6" s="402" t="n"/>
      <c r="AC6" s="402" t="n"/>
      <c r="AD6" s="402" t="n"/>
      <c r="AE6" s="402" t="n"/>
      <c r="AF6" s="402" t="n"/>
      <c r="AG6" s="402" t="n"/>
      <c r="AH6" s="402" t="n"/>
      <c r="AI6" s="402" t="n"/>
      <c r="AJ6" s="402" t="n"/>
      <c r="AK6" s="402" t="n"/>
      <c r="AL6" s="402" t="n"/>
      <c r="AM6" s="402" t="n"/>
      <c r="AN6" s="402" t="n"/>
    </row>
    <row r="7">
      <c r="A7" s="402" t="n"/>
      <c r="B7" s="402" t="n"/>
      <c r="C7" s="402" t="inlineStr">
        <is>
          <t>VOID</t>
        </is>
      </c>
      <c r="D7" s="402" t="n"/>
      <c r="E7" s="402" t="n"/>
      <c r="F7" s="402" t="n"/>
      <c r="G7" s="402" t="n"/>
      <c r="H7" s="402" t="n"/>
      <c r="I7" s="402" t="n"/>
      <c r="J7" s="402" t="n"/>
      <c r="K7" s="402" t="n"/>
      <c r="L7" s="402" t="n"/>
      <c r="M7" s="402" t="n"/>
      <c r="N7" s="402" t="n"/>
      <c r="O7" s="402" t="n"/>
      <c r="P7" s="402" t="n"/>
      <c r="Q7" s="402" t="n"/>
      <c r="R7" s="402" t="n"/>
      <c r="S7" s="402" t="n"/>
      <c r="T7" s="402" t="n"/>
      <c r="U7" s="402" t="n"/>
      <c r="V7" s="402" t="n"/>
      <c r="W7" s="402" t="n"/>
      <c r="X7" s="402" t="n"/>
      <c r="Y7" s="402" t="n"/>
      <c r="Z7" s="402" t="n"/>
      <c r="AA7" s="402" t="n"/>
      <c r="AB7" s="402" t="n"/>
      <c r="AC7" s="402" t="n"/>
      <c r="AD7" s="402" t="n"/>
      <c r="AE7" s="402" t="n"/>
      <c r="AF7" s="402" t="n"/>
      <c r="AG7" s="402" t="n"/>
      <c r="AH7" s="402" t="n"/>
      <c r="AI7" s="402" t="n"/>
      <c r="AJ7" s="402" t="n"/>
      <c r="AK7" s="402" t="n"/>
      <c r="AL7" s="402" t="n"/>
      <c r="AM7" s="402" t="n"/>
      <c r="AN7" s="402" t="n"/>
    </row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showGridLines="0" tabSelected="0" topLeftCell="A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hidden="1" width="2.33" customWidth="1" min="5" max="16384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>
      <c r="A1" s="576" t="inlineStr">
        <is>
          <t>REF_CUSTOMER_MASTER</t>
        </is>
      </c>
      <c r="B1" s="535" t="inlineStr">
        <is>
          <t>REF_PART_REV_MASTER</t>
        </is>
      </c>
      <c r="C1" s="535" t="inlineStr">
        <is>
          <t>REF_JOB_WO_MASTER</t>
        </is>
      </c>
      <c r="D1" s="535" t="inlineStr">
        <is>
          <t>REF_OWNER_PERSON_MASTER</t>
        </is>
      </c>
      <c r="E1" s="535" t="n"/>
      <c r="F1" s="535" t="n"/>
      <c r="G1" s="535" t="n"/>
      <c r="H1" s="535" t="n"/>
      <c r="I1" s="535" t="n"/>
      <c r="J1" s="535" t="n"/>
      <c r="K1" s="535" t="n"/>
      <c r="L1" s="535" t="n"/>
      <c r="M1" s="535" t="n"/>
      <c r="N1" s="535" t="n"/>
      <c r="O1" s="535" t="n"/>
      <c r="P1" s="535" t="n"/>
      <c r="Q1" s="535" t="n"/>
      <c r="R1" s="535" t="n"/>
      <c r="S1" s="535" t="n"/>
      <c r="T1" s="535" t="n"/>
      <c r="U1" s="535" t="n"/>
      <c r="V1" s="535" t="n"/>
      <c r="W1" s="535" t="n"/>
      <c r="X1" s="535" t="n"/>
      <c r="Y1" s="535" t="n"/>
      <c r="Z1" s="535" t="n"/>
      <c r="AA1" s="535" t="n"/>
      <c r="AB1" s="535" t="n"/>
      <c r="AC1" s="535" t="n"/>
      <c r="AD1" s="535" t="n"/>
      <c r="AE1" s="535" t="n"/>
      <c r="AF1" s="535" t="n"/>
      <c r="AG1" s="535" t="n"/>
      <c r="AH1" s="535" t="n"/>
      <c r="AI1" s="535" t="n"/>
      <c r="AJ1" s="535" t="n"/>
      <c r="AK1" s="535" t="n"/>
      <c r="AL1" s="535" t="n"/>
      <c r="AM1" s="535" t="n"/>
      <c r="AN1" s="538" t="n"/>
    </row>
    <row r="2">
      <c r="A2" s="572" t="inlineStr">
        <is>
          <t>CUST-001 Alpha Semi</t>
        </is>
      </c>
      <c r="B2" s="398" t="inlineStr">
        <is>
          <t>PN-1001 / Rev.A</t>
        </is>
      </c>
      <c r="C2" s="398" t="inlineStr">
        <is>
          <t>JOB-240001</t>
        </is>
      </c>
      <c r="D2" s="398" t="inlineStr">
        <is>
          <t>Planning Lead</t>
        </is>
      </c>
      <c r="E2" s="398" t="n"/>
      <c r="F2" s="398" t="n"/>
      <c r="G2" s="398" t="n"/>
      <c r="H2" s="398" t="n"/>
      <c r="I2" s="398" t="n"/>
      <c r="J2" s="398" t="n"/>
      <c r="K2" s="398" t="n"/>
      <c r="L2" s="398" t="n"/>
      <c r="M2" s="398" t="n"/>
      <c r="N2" s="398" t="n"/>
      <c r="O2" s="398" t="n"/>
      <c r="P2" s="398" t="n"/>
      <c r="Q2" s="398" t="n"/>
      <c r="R2" s="398" t="n"/>
      <c r="S2" s="398" t="n"/>
      <c r="T2" s="398" t="n"/>
      <c r="U2" s="398" t="n"/>
      <c r="V2" s="398" t="n"/>
      <c r="W2" s="398" t="n"/>
      <c r="X2" s="398" t="n"/>
      <c r="Y2" s="398" t="n"/>
      <c r="Z2" s="398" t="n"/>
      <c r="AA2" s="398" t="n"/>
      <c r="AB2" s="398" t="n"/>
      <c r="AC2" s="398" t="n"/>
      <c r="AD2" s="398" t="n"/>
      <c r="AE2" s="398" t="n"/>
      <c r="AF2" s="398" t="n"/>
      <c r="AG2" s="398" t="n"/>
      <c r="AH2" s="398" t="n"/>
      <c r="AI2" s="398" t="n"/>
      <c r="AJ2" s="398" t="n"/>
      <c r="AK2" s="398" t="n"/>
      <c r="AL2" s="398" t="n"/>
      <c r="AM2" s="398" t="n"/>
      <c r="AN2" s="542" t="n"/>
    </row>
    <row r="3">
      <c r="A3" s="572" t="inlineStr">
        <is>
          <t>CUST-002 NovaFab</t>
        </is>
      </c>
      <c r="B3" s="398" t="inlineStr">
        <is>
          <t>PN-1002 / Rev.B</t>
        </is>
      </c>
      <c r="C3" s="398" t="inlineStr">
        <is>
          <t>JOB-240002</t>
        </is>
      </c>
      <c r="D3" s="398" t="inlineStr">
        <is>
          <t>Production Supervisor</t>
        </is>
      </c>
      <c r="E3" s="398" t="n"/>
      <c r="F3" s="398" t="n"/>
      <c r="G3" s="398" t="n"/>
      <c r="H3" s="398" t="n"/>
      <c r="I3" s="398" t="n"/>
      <c r="J3" s="398" t="n"/>
      <c r="K3" s="398" t="n"/>
      <c r="L3" s="398" t="n"/>
      <c r="M3" s="398" t="n"/>
      <c r="N3" s="398" t="n"/>
      <c r="O3" s="398" t="n"/>
      <c r="P3" s="398" t="n"/>
      <c r="Q3" s="398" t="n"/>
      <c r="R3" s="398" t="n"/>
      <c r="S3" s="398" t="n"/>
      <c r="T3" s="398" t="n"/>
      <c r="U3" s="398" t="n"/>
      <c r="V3" s="398" t="n"/>
      <c r="W3" s="398" t="n"/>
      <c r="X3" s="398" t="n"/>
      <c r="Y3" s="398" t="n"/>
      <c r="Z3" s="398" t="n"/>
      <c r="AA3" s="398" t="n"/>
      <c r="AB3" s="398" t="n"/>
      <c r="AC3" s="398" t="n"/>
      <c r="AD3" s="398" t="n"/>
      <c r="AE3" s="398" t="n"/>
      <c r="AF3" s="398" t="n"/>
      <c r="AG3" s="398" t="n"/>
      <c r="AH3" s="398" t="n"/>
      <c r="AI3" s="398" t="n"/>
      <c r="AJ3" s="398" t="n"/>
      <c r="AK3" s="398" t="n"/>
      <c r="AL3" s="398" t="n"/>
      <c r="AM3" s="398" t="n"/>
      <c r="AN3" s="542" t="n"/>
    </row>
    <row r="4">
      <c r="A4" s="572" t="inlineStr">
        <is>
          <t>CUST-003 Orion Tech</t>
        </is>
      </c>
      <c r="B4" s="398" t="inlineStr">
        <is>
          <t>PN-1003 / Rev.C</t>
        </is>
      </c>
      <c r="C4" s="398" t="inlineStr">
        <is>
          <t>JOB-240003</t>
        </is>
      </c>
      <c r="D4" s="398" t="inlineStr">
        <is>
          <t>QA Engineer</t>
        </is>
      </c>
      <c r="E4" s="398" t="n"/>
      <c r="F4" s="398" t="n"/>
      <c r="G4" s="398" t="n"/>
      <c r="H4" s="398" t="n"/>
      <c r="I4" s="398" t="n"/>
      <c r="J4" s="398" t="n"/>
      <c r="K4" s="398" t="n"/>
      <c r="L4" s="398" t="n"/>
      <c r="M4" s="398" t="n"/>
      <c r="N4" s="398" t="n"/>
      <c r="O4" s="398" t="n"/>
      <c r="P4" s="398" t="n"/>
      <c r="Q4" s="398" t="n"/>
      <c r="R4" s="398" t="n"/>
      <c r="S4" s="398" t="n"/>
      <c r="T4" s="398" t="n"/>
      <c r="U4" s="398" t="n"/>
      <c r="V4" s="398" t="n"/>
      <c r="W4" s="398" t="n"/>
      <c r="X4" s="398" t="n"/>
      <c r="Y4" s="398" t="n"/>
      <c r="Z4" s="398" t="n"/>
      <c r="AA4" s="398" t="n"/>
      <c r="AB4" s="398" t="n"/>
      <c r="AC4" s="398" t="n"/>
      <c r="AD4" s="398" t="n"/>
      <c r="AE4" s="398" t="n"/>
      <c r="AF4" s="398" t="n"/>
      <c r="AG4" s="398" t="n"/>
      <c r="AH4" s="398" t="n"/>
      <c r="AI4" s="398" t="n"/>
      <c r="AJ4" s="398" t="n"/>
      <c r="AK4" s="398" t="n"/>
      <c r="AL4" s="398" t="n"/>
      <c r="AM4" s="398" t="n"/>
      <c r="AN4" s="542" t="n"/>
    </row>
    <row r="5">
      <c r="A5" s="572" t="n"/>
      <c r="B5" s="398" t="n"/>
      <c r="C5" s="398" t="n"/>
      <c r="D5" s="398" t="inlineStr">
        <is>
          <t>Engineering Lead</t>
        </is>
      </c>
      <c r="E5" s="398" t="n"/>
      <c r="F5" s="398" t="n"/>
      <c r="G5" s="398" t="n"/>
      <c r="H5" s="398" t="n"/>
      <c r="I5" s="398" t="n"/>
      <c r="J5" s="398" t="n"/>
      <c r="K5" s="398" t="n"/>
      <c r="L5" s="398" t="n"/>
      <c r="M5" s="398" t="n"/>
      <c r="N5" s="398" t="n"/>
      <c r="O5" s="398" t="n"/>
      <c r="P5" s="398" t="n"/>
      <c r="Q5" s="398" t="n"/>
      <c r="R5" s="398" t="n"/>
      <c r="S5" s="398" t="n"/>
      <c r="T5" s="398" t="n"/>
      <c r="U5" s="398" t="n"/>
      <c r="V5" s="398" t="n"/>
      <c r="W5" s="398" t="n"/>
      <c r="X5" s="398" t="n"/>
      <c r="Y5" s="398" t="n"/>
      <c r="Z5" s="398" t="n"/>
      <c r="AA5" s="398" t="n"/>
      <c r="AB5" s="398" t="n"/>
      <c r="AC5" s="398" t="n"/>
      <c r="AD5" s="398" t="n"/>
      <c r="AE5" s="398" t="n"/>
      <c r="AF5" s="398" t="n"/>
      <c r="AG5" s="398" t="n"/>
      <c r="AH5" s="398" t="n"/>
      <c r="AI5" s="398" t="n"/>
      <c r="AJ5" s="398" t="n"/>
      <c r="AK5" s="398" t="n"/>
      <c r="AL5" s="398" t="n"/>
      <c r="AM5" s="398" t="n"/>
      <c r="AN5" s="542" t="n"/>
    </row>
    <row r="6">
      <c r="A6" s="574" t="n"/>
      <c r="B6" s="544" t="n"/>
      <c r="C6" s="544" t="n"/>
      <c r="D6" s="544" t="inlineStr">
        <is>
          <t>Setup Technician</t>
        </is>
      </c>
      <c r="E6" s="544" t="n"/>
      <c r="F6" s="544" t="n"/>
      <c r="G6" s="544" t="n"/>
      <c r="H6" s="544" t="n"/>
      <c r="I6" s="544" t="n"/>
      <c r="J6" s="544" t="n"/>
      <c r="K6" s="544" t="n"/>
      <c r="L6" s="544" t="n"/>
      <c r="M6" s="544" t="n"/>
      <c r="N6" s="544" t="n"/>
      <c r="O6" s="544" t="n"/>
      <c r="P6" s="544" t="n"/>
      <c r="Q6" s="544" t="n"/>
      <c r="R6" s="544" t="n"/>
      <c r="S6" s="544" t="n"/>
      <c r="T6" s="544" t="n"/>
      <c r="U6" s="544" t="n"/>
      <c r="V6" s="544" t="n"/>
      <c r="W6" s="544" t="n"/>
      <c r="X6" s="544" t="n"/>
      <c r="Y6" s="544" t="n"/>
      <c r="Z6" s="544" t="n"/>
      <c r="AA6" s="544" t="n"/>
      <c r="AB6" s="544" t="n"/>
      <c r="AC6" s="544" t="n"/>
      <c r="AD6" s="544" t="n"/>
      <c r="AE6" s="544" t="n"/>
      <c r="AF6" s="544" t="n"/>
      <c r="AG6" s="544" t="n"/>
      <c r="AH6" s="544" t="n"/>
      <c r="AI6" s="544" t="n"/>
      <c r="AJ6" s="544" t="n"/>
      <c r="AK6" s="544" t="n"/>
      <c r="AL6" s="544" t="n"/>
      <c r="AM6" s="544" t="n"/>
      <c r="AN6" s="547" t="n"/>
    </row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AN28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hidden="1" outlineLevel="1" width="2.33" customWidth="1" min="10" max="16384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386" t="n"/>
      <c r="B1" s="319" t="n"/>
      <c r="C1" s="3" t="inlineStr">
        <is>
          <t>RISKS / ACTIONS REGISTER</t>
        </is>
      </c>
      <c r="D1" s="268" t="n"/>
      <c r="E1" s="268" t="n"/>
      <c r="F1" s="268" t="n"/>
      <c r="G1" s="268" t="n"/>
      <c r="H1" s="675" t="inlineStr">
        <is>
          <t>Form Code</t>
        </is>
      </c>
      <c r="I1" s="676" t="inlineStr">
        <is>
          <t>FRM-209</t>
        </is>
      </c>
      <c r="J1" s="676" t="n"/>
      <c r="K1" s="676" t="n"/>
      <c r="L1" s="676" t="n"/>
      <c r="M1" s="676" t="n"/>
      <c r="N1" s="676" t="n"/>
      <c r="O1" s="676" t="n"/>
      <c r="P1" s="676" t="n"/>
      <c r="Q1" s="676" t="n"/>
      <c r="R1" s="676" t="n"/>
      <c r="S1" s="676" t="n"/>
      <c r="T1" s="676" t="n"/>
      <c r="U1" s="676" t="n"/>
      <c r="V1" s="676" t="n"/>
      <c r="W1" s="676" t="n"/>
      <c r="X1" s="676" t="n"/>
      <c r="Y1" s="676" t="n"/>
      <c r="Z1" s="676" t="n"/>
      <c r="AA1" s="676" t="n"/>
      <c r="AB1" s="676" t="n"/>
      <c r="AC1" s="676" t="n"/>
      <c r="AD1" s="676" t="n"/>
      <c r="AE1" s="677" t="n"/>
      <c r="AF1" s="677" t="n"/>
      <c r="AG1" s="677" t="n"/>
      <c r="AH1" s="677" t="n"/>
      <c r="AI1" s="634" t="n"/>
      <c r="AJ1" s="634" t="n"/>
      <c r="AK1" s="634" t="n"/>
      <c r="AL1" s="634" t="n"/>
      <c r="AM1" s="634" t="n"/>
      <c r="AN1" s="678" t="n"/>
    </row>
    <row r="2" ht="15" customHeight="1">
      <c r="A2" s="275" t="n"/>
      <c r="B2" s="320" t="n"/>
      <c r="C2" s="275" t="n"/>
      <c r="H2" s="679" t="inlineStr">
        <is>
          <t>Revision</t>
        </is>
      </c>
      <c r="I2" s="680" t="inlineStr">
        <is>
          <t>V0</t>
        </is>
      </c>
      <c r="J2" s="680" t="n"/>
      <c r="K2" s="680" t="n"/>
      <c r="L2" s="680" t="n"/>
      <c r="M2" s="680" t="n"/>
      <c r="N2" s="680" t="n"/>
      <c r="O2" s="680" t="n"/>
      <c r="P2" s="680" t="n"/>
      <c r="Q2" s="680" t="n"/>
      <c r="R2" s="680" t="n"/>
      <c r="S2" s="680" t="n"/>
      <c r="T2" s="680" t="n"/>
      <c r="U2" s="680" t="n"/>
      <c r="V2" s="680" t="n"/>
      <c r="W2" s="680" t="n"/>
      <c r="X2" s="680" t="n"/>
      <c r="Y2" s="680" t="n"/>
      <c r="Z2" s="680" t="n"/>
      <c r="AA2" s="680" t="n"/>
      <c r="AB2" s="680" t="n"/>
      <c r="AC2" s="680" t="n"/>
      <c r="AD2" s="680" t="n"/>
      <c r="AE2" s="681" t="n"/>
      <c r="AF2" s="681" t="n"/>
      <c r="AG2" s="681" t="n"/>
      <c r="AH2" s="681" t="n"/>
      <c r="AI2" s="638" t="n"/>
      <c r="AJ2" s="638" t="n"/>
      <c r="AK2" s="638" t="n"/>
      <c r="AL2" s="638" t="n"/>
      <c r="AM2" s="638" t="n"/>
      <c r="AN2" s="682" t="n"/>
    </row>
    <row r="3" ht="15" customHeight="1">
      <c r="A3" s="275" t="n"/>
      <c r="B3" s="320" t="n"/>
      <c r="C3" s="275" t="n"/>
      <c r="H3" s="679" t="inlineStr">
        <is>
          <t>Eff. Date</t>
        </is>
      </c>
      <c r="I3" s="680" t="inlineStr">
        <is>
          <t>YYYY-MM-DD</t>
        </is>
      </c>
      <c r="J3" s="680" t="n"/>
      <c r="K3" s="680" t="n"/>
      <c r="L3" s="680" t="n"/>
      <c r="M3" s="680" t="n"/>
      <c r="N3" s="680" t="n"/>
      <c r="O3" s="680" t="n"/>
      <c r="P3" s="680" t="n"/>
      <c r="Q3" s="680" t="n"/>
      <c r="R3" s="680" t="n"/>
      <c r="S3" s="680" t="n"/>
      <c r="T3" s="680" t="n"/>
      <c r="U3" s="680" t="n"/>
      <c r="V3" s="680" t="n"/>
      <c r="W3" s="680" t="n"/>
      <c r="X3" s="680" t="n"/>
      <c r="Y3" s="680" t="n"/>
      <c r="Z3" s="680" t="n"/>
      <c r="AA3" s="680" t="n"/>
      <c r="AB3" s="680" t="n"/>
      <c r="AC3" s="680" t="n"/>
      <c r="AD3" s="680" t="n"/>
      <c r="AE3" s="681" t="n"/>
      <c r="AF3" s="681" t="n"/>
      <c r="AG3" s="681" t="n"/>
      <c r="AH3" s="681" t="n"/>
      <c r="AI3" s="638" t="n"/>
      <c r="AJ3" s="638" t="n"/>
      <c r="AK3" s="638" t="n"/>
      <c r="AL3" s="638" t="n"/>
      <c r="AM3" s="638" t="n"/>
      <c r="AN3" s="682" t="n"/>
    </row>
    <row r="4" ht="15" customHeight="1">
      <c r="A4" s="275" t="n"/>
      <c r="B4" s="320" t="n"/>
      <c r="C4" s="683" t="inlineStr">
        <is>
          <t>Quality Management System  ·  Controlled Document</t>
        </is>
      </c>
      <c r="H4" s="679" t="inlineStr">
        <is>
          <t>Owner</t>
        </is>
      </c>
      <c r="I4" s="684" t="inlineStr"/>
      <c r="J4" s="684" t="n"/>
      <c r="K4" s="684" t="n"/>
      <c r="L4" s="684" t="n"/>
      <c r="M4" s="684" t="n"/>
      <c r="N4" s="684" t="n"/>
      <c r="O4" s="684" t="n"/>
      <c r="P4" s="684" t="n"/>
      <c r="Q4" s="684" t="n"/>
      <c r="R4" s="684" t="n"/>
      <c r="S4" s="684" t="n"/>
      <c r="T4" s="684" t="n"/>
      <c r="U4" s="684" t="n"/>
      <c r="V4" s="684" t="n"/>
      <c r="W4" s="684" t="n"/>
      <c r="X4" s="684" t="n"/>
      <c r="Y4" s="684" t="n"/>
      <c r="Z4" s="684" t="n"/>
      <c r="AA4" s="684" t="n"/>
      <c r="AB4" s="684" t="n"/>
      <c r="AC4" s="684" t="n"/>
      <c r="AD4" s="684" t="n"/>
      <c r="AE4" s="681" t="n"/>
      <c r="AF4" s="681" t="n"/>
      <c r="AG4" s="681" t="n"/>
      <c r="AH4" s="681" t="n"/>
      <c r="AI4" s="638" t="n"/>
      <c r="AJ4" s="638" t="n"/>
      <c r="AK4" s="638" t="n"/>
      <c r="AL4" s="638" t="n"/>
      <c r="AM4" s="638" t="n"/>
      <c r="AN4" s="682" t="n"/>
    </row>
    <row r="5" ht="15" customHeight="1">
      <c r="A5" s="282" t="n"/>
      <c r="B5" s="287" t="n"/>
      <c r="C5" s="685" t="inlineStr">
        <is>
          <t>HESEM Engineering  ·  ISO 9001 / AS9100  ·  Semiconductor Equipment Parts</t>
        </is>
      </c>
      <c r="D5" s="283" t="n"/>
      <c r="E5" s="283" t="n"/>
      <c r="F5" s="283" t="n"/>
      <c r="G5" s="283" t="n"/>
      <c r="H5" s="686" t="inlineStr">
        <is>
          <t>Approved</t>
        </is>
      </c>
      <c r="I5" s="687" t="inlineStr"/>
      <c r="J5" s="687" t="n"/>
      <c r="K5" s="687" t="n"/>
      <c r="L5" s="687" t="n"/>
      <c r="M5" s="687" t="n"/>
      <c r="N5" s="687" t="n"/>
      <c r="O5" s="687" t="n"/>
      <c r="P5" s="687" t="n"/>
      <c r="Q5" s="687" t="n"/>
      <c r="R5" s="687" t="n"/>
      <c r="S5" s="687" t="n"/>
      <c r="T5" s="687" t="n"/>
      <c r="U5" s="687" t="n"/>
      <c r="V5" s="687" t="n"/>
      <c r="W5" s="687" t="n"/>
      <c r="X5" s="687" t="n"/>
      <c r="Y5" s="687" t="n"/>
      <c r="Z5" s="687" t="n"/>
      <c r="AA5" s="687" t="n"/>
      <c r="AB5" s="687" t="n"/>
      <c r="AC5" s="687" t="n"/>
      <c r="AD5" s="687" t="n"/>
      <c r="AE5" s="688" t="n"/>
      <c r="AF5" s="688" t="n"/>
      <c r="AG5" s="688" t="n"/>
      <c r="AH5" s="688" t="n"/>
      <c r="AI5" s="644" t="n"/>
      <c r="AJ5" s="644" t="n"/>
      <c r="AK5" s="644" t="n"/>
      <c r="AL5" s="644" t="n"/>
      <c r="AM5" s="644" t="n"/>
      <c r="AN5" s="689" t="n"/>
    </row>
    <row r="6" ht="1.5" customHeight="1">
      <c r="A6" s="690" t="n"/>
      <c r="B6" s="646" t="n"/>
      <c r="C6" s="646" t="n"/>
      <c r="D6" s="646" t="n"/>
      <c r="E6" s="646" t="n"/>
      <c r="F6" s="646" t="n"/>
      <c r="G6" s="646" t="n"/>
      <c r="H6" s="646" t="n"/>
      <c r="I6" s="646" t="n"/>
      <c r="J6" s="646" t="n"/>
      <c r="K6" s="646" t="n"/>
      <c r="L6" s="646" t="n"/>
      <c r="M6" s="646" t="n"/>
      <c r="N6" s="646" t="n"/>
      <c r="O6" s="646" t="n"/>
      <c r="P6" s="646" t="n"/>
      <c r="Q6" s="646" t="n"/>
      <c r="R6" s="646" t="n"/>
      <c r="S6" s="646" t="n"/>
      <c r="T6" s="646" t="n"/>
      <c r="U6" s="646" t="n"/>
      <c r="V6" s="646" t="n"/>
      <c r="W6" s="646" t="n"/>
      <c r="X6" s="646" t="n"/>
      <c r="Y6" s="646" t="n"/>
      <c r="Z6" s="646" t="n"/>
      <c r="AA6" s="646" t="n"/>
      <c r="AB6" s="646" t="n"/>
      <c r="AC6" s="646" t="n"/>
      <c r="AD6" s="646" t="n"/>
      <c r="AE6" s="646" t="n"/>
      <c r="AF6" s="646" t="n"/>
      <c r="AG6" s="646" t="n"/>
      <c r="AH6" s="646" t="n"/>
      <c r="AI6" s="646" t="n"/>
      <c r="AJ6" s="646" t="n"/>
      <c r="AK6" s="646" t="n"/>
      <c r="AL6" s="646" t="n"/>
      <c r="AM6" s="646" t="n"/>
      <c r="AN6" s="646" t="n"/>
    </row>
    <row r="7" ht="18" customHeight="1">
      <c r="A7" s="647" t="inlineStr">
        <is>
          <t>1.  CONTROL CONTEXT / SUPPORT TAB PURPOSE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691" t="n"/>
      <c r="K7" s="691" t="n"/>
      <c r="L7" s="691" t="n"/>
      <c r="M7" s="691" t="n"/>
      <c r="N7" s="691" t="n"/>
      <c r="O7" s="691" t="n"/>
      <c r="P7" s="691" t="n"/>
      <c r="Q7" s="691" t="n"/>
      <c r="R7" s="691" t="n"/>
      <c r="S7" s="691" t="n"/>
      <c r="T7" s="691" t="n"/>
      <c r="U7" s="691" t="n"/>
      <c r="V7" s="691" t="n"/>
      <c r="W7" s="691" t="n"/>
      <c r="X7" s="691" t="n"/>
      <c r="Y7" s="691" t="n"/>
      <c r="Z7" s="691" t="n"/>
      <c r="AA7" s="691" t="n"/>
      <c r="AB7" s="691" t="n"/>
      <c r="AC7" s="691" t="n"/>
      <c r="AD7" s="691" t="n"/>
      <c r="AE7" s="691" t="n"/>
      <c r="AF7" s="691" t="n"/>
      <c r="AG7" s="691" t="n"/>
      <c r="AH7" s="691" t="n"/>
      <c r="AI7" s="691" t="n"/>
      <c r="AJ7" s="691" t="n"/>
      <c r="AK7" s="691" t="n"/>
      <c r="AL7" s="691" t="n"/>
      <c r="AM7" s="691" t="n"/>
      <c r="AN7" s="692" t="n"/>
    </row>
    <row r="8" ht="20" customHeight="1">
      <c r="A8" s="756" t="inlineStr">
        <is>
          <t>Parent Form</t>
        </is>
      </c>
      <c r="B8" s="272" t="n"/>
      <c r="C8" s="757" t="inlineStr">
        <is>
          <t>FRM-209 · HIGH-RISK JOB READINESS REVIEW</t>
        </is>
      </c>
      <c r="D8" s="271" t="n"/>
      <c r="E8" s="272" t="n"/>
      <c r="F8" s="758" t="inlineStr">
        <is>
          <t>Support Tab</t>
        </is>
      </c>
      <c r="G8" s="272" t="n"/>
      <c r="H8" s="757" t="inlineStr">
        <is>
          <t>RISKS_ACTIONS</t>
        </is>
      </c>
      <c r="I8" s="272" t="n"/>
      <c r="J8" s="696" t="n"/>
      <c r="K8" s="696" t="n"/>
      <c r="L8" s="696" t="n"/>
      <c r="M8" s="696" t="n"/>
      <c r="N8" s="696" t="n"/>
      <c r="O8" s="696" t="n"/>
      <c r="P8" s="696" t="n"/>
      <c r="Q8" s="696" t="n"/>
      <c r="R8" s="696" t="n"/>
      <c r="S8" s="696" t="n"/>
      <c r="T8" s="696" t="n"/>
      <c r="U8" s="696" t="n"/>
      <c r="V8" s="696" t="n"/>
      <c r="W8" s="696" t="n"/>
      <c r="X8" s="696" t="n"/>
      <c r="Y8" s="696" t="n"/>
      <c r="Z8" s="696" t="n"/>
      <c r="AA8" s="696" t="n"/>
      <c r="AB8" s="696" t="n"/>
      <c r="AC8" s="696" t="n"/>
      <c r="AD8" s="696" t="n"/>
      <c r="AE8" s="696" t="n"/>
      <c r="AF8" s="696" t="n"/>
      <c r="AG8" s="696" t="n"/>
      <c r="AH8" s="696" t="n"/>
      <c r="AI8" s="696" t="n"/>
      <c r="AJ8" s="696" t="n"/>
      <c r="AK8" s="696" t="n"/>
      <c r="AL8" s="696" t="n"/>
      <c r="AM8" s="696" t="n"/>
      <c r="AN8" s="697" t="n"/>
    </row>
    <row r="9" ht="20" customHeight="1">
      <c r="A9" s="759" t="inlineStr">
        <is>
          <t>Tab Purpose</t>
        </is>
      </c>
      <c r="B9" s="278" t="n"/>
      <c r="C9" s="760" t="inlineStr">
        <is>
          <t>One line per material, capacity, quality or customer-risk condition.</t>
        </is>
      </c>
      <c r="D9" s="277" t="n"/>
      <c r="E9" s="278" t="n"/>
      <c r="F9" s="761" t="inlineStr">
        <is>
          <t>Working Owner</t>
        </is>
      </c>
      <c r="G9" s="278" t="n"/>
      <c r="H9" s="760" t="inlineStr"/>
      <c r="I9" s="278" t="n"/>
      <c r="J9" s="701" t="n"/>
      <c r="K9" s="701" t="n"/>
      <c r="L9" s="701" t="n"/>
      <c r="M9" s="701" t="n"/>
      <c r="N9" s="701" t="n"/>
      <c r="O9" s="701" t="n"/>
      <c r="P9" s="701" t="n"/>
      <c r="Q9" s="701" t="n"/>
      <c r="R9" s="701" t="n"/>
      <c r="S9" s="701" t="n"/>
      <c r="T9" s="701" t="n"/>
      <c r="U9" s="701" t="n"/>
      <c r="V9" s="701" t="n"/>
      <c r="W9" s="701" t="n"/>
      <c r="X9" s="701" t="n"/>
      <c r="Y9" s="701" t="n"/>
      <c r="Z9" s="701" t="n"/>
      <c r="AA9" s="701" t="n"/>
      <c r="AB9" s="701" t="n"/>
      <c r="AC9" s="701" t="n"/>
      <c r="AD9" s="701" t="n"/>
      <c r="AE9" s="701" t="n"/>
      <c r="AF9" s="701" t="n"/>
      <c r="AG9" s="701" t="n"/>
      <c r="AH9" s="701" t="n"/>
      <c r="AI9" s="701" t="n"/>
      <c r="AJ9" s="701" t="n"/>
      <c r="AK9" s="701" t="n"/>
      <c r="AL9" s="701" t="n"/>
      <c r="AM9" s="701" t="n"/>
      <c r="AN9" s="702" t="n"/>
    </row>
    <row r="10" ht="20" customHeight="1">
      <c r="A10" s="759" t="inlineStr">
        <is>
          <t>Source of Truth</t>
        </is>
      </c>
      <c r="B10" s="278" t="n"/>
      <c r="C10" s="760" t="inlineStr">
        <is>
          <t>Use controlled parent-form references, _IMPORT lists and approved evidence sources only.</t>
        </is>
      </c>
      <c r="D10" s="277" t="n"/>
      <c r="E10" s="278" t="n"/>
      <c r="F10" s="761" t="inlineStr">
        <is>
          <t>Reviewed By</t>
        </is>
      </c>
      <c r="G10" s="278" t="n"/>
      <c r="H10" s="760" t="inlineStr"/>
      <c r="I10" s="278" t="n"/>
      <c r="J10" s="701" t="n"/>
      <c r="K10" s="701" t="n"/>
      <c r="L10" s="701" t="n"/>
      <c r="M10" s="701" t="n"/>
      <c r="N10" s="701" t="n"/>
      <c r="O10" s="701" t="n"/>
      <c r="P10" s="701" t="n"/>
      <c r="Q10" s="701" t="n"/>
      <c r="R10" s="701" t="n"/>
      <c r="S10" s="701" t="n"/>
      <c r="T10" s="701" t="n"/>
      <c r="U10" s="701" t="n"/>
      <c r="V10" s="701" t="n"/>
      <c r="W10" s="701" t="n"/>
      <c r="X10" s="701" t="n"/>
      <c r="Y10" s="701" t="n"/>
      <c r="Z10" s="701" t="n"/>
      <c r="AA10" s="701" t="n"/>
      <c r="AB10" s="701" t="n"/>
      <c r="AC10" s="701" t="n"/>
      <c r="AD10" s="701" t="n"/>
      <c r="AE10" s="701" t="n"/>
      <c r="AF10" s="701" t="n"/>
      <c r="AG10" s="701" t="n"/>
      <c r="AH10" s="701" t="n"/>
      <c r="AI10" s="701" t="n"/>
      <c r="AJ10" s="701" t="n"/>
      <c r="AK10" s="701" t="n"/>
      <c r="AL10" s="701" t="n"/>
      <c r="AM10" s="701" t="n"/>
      <c r="AN10" s="702" t="n"/>
    </row>
    <row r="11" ht="26" customHeight="1">
      <c r="A11" s="759" t="inlineStr">
        <is>
          <t>Update Trigger</t>
        </is>
      </c>
      <c r="B11" s="278" t="n"/>
      <c r="C11" s="760" t="inlineStr">
        <is>
          <t>Update when the linked review, evidence or follow-up status changes.</t>
        </is>
      </c>
      <c r="D11" s="277" t="n"/>
      <c r="E11" s="278" t="n"/>
      <c r="F11" s="761" t="inlineStr">
        <is>
          <t>Data Structure</t>
        </is>
      </c>
      <c r="G11" s="278" t="n"/>
      <c r="H11" s="760" t="inlineStr">
        <is>
          <t>Structured Excel Table with filters and print-title rows.</t>
        </is>
      </c>
      <c r="I11" s="278" t="n"/>
      <c r="J11" s="703" t="n"/>
      <c r="K11" s="703" t="n"/>
      <c r="L11" s="703" t="n"/>
      <c r="M11" s="703" t="n"/>
      <c r="N11" s="703" t="n"/>
      <c r="O11" s="703" t="n"/>
      <c r="P11" s="703" t="n"/>
      <c r="Q11" s="703" t="n"/>
      <c r="R11" s="703" t="n"/>
      <c r="S11" s="703" t="n"/>
      <c r="T11" s="703" t="n"/>
      <c r="U11" s="703" t="n"/>
      <c r="V11" s="703" t="n"/>
      <c r="W11" s="703" t="n"/>
      <c r="X11" s="703" t="n"/>
      <c r="Y11" s="703" t="n"/>
      <c r="Z11" s="703" t="n"/>
      <c r="AA11" s="703" t="n"/>
      <c r="AB11" s="703" t="n"/>
      <c r="AC11" s="703" t="n"/>
      <c r="AD11" s="703" t="n"/>
      <c r="AE11" s="703" t="n"/>
      <c r="AF11" s="703" t="n"/>
      <c r="AG11" s="703" t="n"/>
      <c r="AH11" s="703" t="n"/>
      <c r="AI11" s="703" t="n"/>
      <c r="AJ11" s="703" t="n"/>
      <c r="AK11" s="703" t="n"/>
      <c r="AL11" s="703" t="n"/>
      <c r="AM11" s="703" t="n"/>
      <c r="AN11" s="704" t="n"/>
    </row>
    <row r="12" ht="20" customHeight="1">
      <c r="A12" s="762" t="inlineStr">
        <is>
          <t>Retention Rule</t>
        </is>
      </c>
      <c r="B12" s="285" t="n"/>
      <c r="C12" s="763" t="inlineStr">
        <is>
          <t>Do not delete historical lines once evidence has been recorded or reviewed.</t>
        </is>
      </c>
      <c r="D12" s="283" t="n"/>
      <c r="E12" s="285" t="n"/>
      <c r="F12" s="764" t="inlineStr">
        <is>
          <t>Controlled Status</t>
        </is>
      </c>
      <c r="G12" s="285" t="n"/>
      <c r="H12" s="763" t="inlineStr">
        <is>
          <t>Support sheet only — not a replacement for ERP / M365 system-of-record.</t>
        </is>
      </c>
      <c r="I12" s="285" t="n"/>
      <c r="J12" s="708" t="n"/>
      <c r="K12" s="708" t="n"/>
      <c r="L12" s="708" t="n"/>
      <c r="M12" s="708" t="n"/>
      <c r="N12" s="708" t="n"/>
      <c r="O12" s="708" t="n"/>
      <c r="P12" s="708" t="n"/>
      <c r="Q12" s="708" t="n"/>
      <c r="R12" s="708" t="n"/>
      <c r="S12" s="708" t="n"/>
      <c r="T12" s="708" t="n"/>
      <c r="U12" s="708" t="n"/>
      <c r="V12" s="708" t="n"/>
      <c r="W12" s="708" t="n"/>
      <c r="X12" s="708" t="n"/>
      <c r="Y12" s="708" t="n"/>
      <c r="Z12" s="708" t="n"/>
      <c r="AA12" s="708" t="n"/>
      <c r="AB12" s="708" t="n"/>
      <c r="AC12" s="708" t="n"/>
      <c r="AD12" s="708" t="n"/>
      <c r="AE12" s="708" t="n"/>
      <c r="AF12" s="708" t="n"/>
      <c r="AG12" s="708" t="n"/>
      <c r="AH12" s="708" t="n"/>
      <c r="AI12" s="708" t="n"/>
      <c r="AJ12" s="708" t="n"/>
      <c r="AK12" s="708" t="n"/>
      <c r="AL12" s="708" t="n"/>
      <c r="AM12" s="708" t="n"/>
      <c r="AN12" s="709" t="n"/>
    </row>
    <row r="13" ht="3" customHeight="1">
      <c r="A13" s="7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654" t="n"/>
      <c r="K13" s="654" t="n"/>
      <c r="L13" s="654" t="n"/>
      <c r="M13" s="654" t="n"/>
      <c r="N13" s="654" t="n"/>
      <c r="O13" s="654" t="n"/>
      <c r="P13" s="654" t="n"/>
      <c r="Q13" s="654" t="n"/>
      <c r="R13" s="654" t="n"/>
      <c r="S13" s="654" t="n"/>
      <c r="T13" s="654" t="n"/>
      <c r="U13" s="654" t="n"/>
      <c r="V13" s="654" t="n"/>
      <c r="W13" s="654" t="n"/>
      <c r="X13" s="654" t="n"/>
      <c r="Y13" s="654" t="n"/>
      <c r="Z13" s="654" t="n"/>
      <c r="AA13" s="654" t="n"/>
      <c r="AB13" s="654" t="n"/>
      <c r="AC13" s="654" t="n"/>
      <c r="AD13" s="654" t="n"/>
      <c r="AE13" s="654" t="n"/>
      <c r="AF13" s="654" t="n"/>
      <c r="AG13" s="654" t="n"/>
      <c r="AH13" s="654" t="n"/>
      <c r="AI13" s="654" t="n"/>
      <c r="AJ13" s="654" t="n"/>
      <c r="AK13" s="654" t="n"/>
      <c r="AL13" s="654" t="n"/>
      <c r="AM13" s="654" t="n"/>
      <c r="AN13" s="654" t="n"/>
    </row>
    <row r="14" ht="18" customHeight="1">
      <c r="A14" s="647" t="inlineStr">
        <is>
          <t>2.  WORKING TABLE / DETAIL LINES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691" t="n"/>
      <c r="K14" s="691" t="n"/>
      <c r="L14" s="691" t="n"/>
      <c r="M14" s="691" t="n"/>
      <c r="N14" s="691" t="n"/>
      <c r="O14" s="691" t="n"/>
      <c r="P14" s="691" t="n"/>
      <c r="Q14" s="691" t="n"/>
      <c r="R14" s="691" t="n"/>
      <c r="S14" s="691" t="n"/>
      <c r="T14" s="691" t="n"/>
      <c r="U14" s="691" t="n"/>
      <c r="V14" s="691" t="n"/>
      <c r="W14" s="691" t="n"/>
      <c r="X14" s="691" t="n"/>
      <c r="Y14" s="691" t="n"/>
      <c r="Z14" s="691" t="n"/>
      <c r="AA14" s="691" t="n"/>
      <c r="AB14" s="691" t="n"/>
      <c r="AC14" s="691" t="n"/>
      <c r="AD14" s="691" t="n"/>
      <c r="AE14" s="691" t="n"/>
      <c r="AF14" s="691" t="n"/>
      <c r="AG14" s="691" t="n"/>
      <c r="AH14" s="691" t="n"/>
      <c r="AI14" s="691" t="n"/>
      <c r="AJ14" s="691" t="n"/>
      <c r="AK14" s="691" t="n"/>
      <c r="AL14" s="691" t="n"/>
      <c r="AM14" s="691" t="n"/>
      <c r="AN14" s="692" t="n"/>
    </row>
    <row r="15" ht="18" customHeight="1">
      <c r="A15" s="647" t="inlineStr">
        <is>
          <t>One line per material, capacity, quality or customer-risk condition.</t>
        </is>
      </c>
      <c r="B15" s="289" t="n"/>
      <c r="C15" s="289" t="n"/>
      <c r="D15" s="289" t="n"/>
      <c r="E15" s="289" t="n"/>
      <c r="F15" s="289" t="n"/>
      <c r="G15" s="289" t="n"/>
      <c r="H15" s="289" t="n"/>
      <c r="I15" s="289" t="n"/>
      <c r="J15" s="691" t="n"/>
      <c r="K15" s="691" t="n"/>
      <c r="L15" s="691" t="n"/>
      <c r="M15" s="691" t="n"/>
      <c r="N15" s="691" t="n"/>
      <c r="O15" s="691" t="n"/>
      <c r="P15" s="691" t="n"/>
      <c r="Q15" s="691" t="n"/>
      <c r="R15" s="691" t="n"/>
      <c r="S15" s="691" t="n"/>
      <c r="T15" s="691" t="n"/>
      <c r="U15" s="691" t="n"/>
      <c r="V15" s="691" t="n"/>
      <c r="W15" s="691" t="n"/>
      <c r="X15" s="691" t="n"/>
      <c r="Y15" s="691" t="n"/>
      <c r="Z15" s="691" t="n"/>
      <c r="AA15" s="691" t="n"/>
      <c r="AB15" s="691" t="n"/>
      <c r="AC15" s="691" t="n"/>
      <c r="AD15" s="691" t="n"/>
      <c r="AE15" s="691" t="n"/>
      <c r="AF15" s="691" t="n"/>
      <c r="AG15" s="691" t="n"/>
      <c r="AH15" s="691" t="n"/>
      <c r="AI15" s="691" t="n"/>
      <c r="AJ15" s="691" t="n"/>
      <c r="AK15" s="691" t="n"/>
      <c r="AL15" s="691" t="n"/>
      <c r="AM15" s="691" t="n"/>
      <c r="AN15" s="692" t="n"/>
    </row>
    <row r="16" ht="18" customHeight="1">
      <c r="A16" s="36" t="inlineStr">
        <is>
          <t>#</t>
        </is>
      </c>
      <c r="B16" s="37" t="inlineStr">
        <is>
          <t>Risk / Readiness Gap</t>
        </is>
      </c>
      <c r="C16" s="37" t="inlineStr">
        <is>
          <t>Impact</t>
        </is>
      </c>
      <c r="D16" s="37" t="inlineStr">
        <is>
          <t>Containment / Action</t>
        </is>
      </c>
      <c r="E16" s="37" t="inlineStr">
        <is>
          <t>Owner</t>
        </is>
      </c>
      <c r="F16" s="37" t="inlineStr">
        <is>
          <t>Due Date</t>
        </is>
      </c>
      <c r="G16" s="37" t="inlineStr">
        <is>
          <t>Escalation</t>
        </is>
      </c>
      <c r="H16" s="37" t="inlineStr">
        <is>
          <t>Status</t>
        </is>
      </c>
      <c r="I16" s="37" t="inlineStr">
        <is>
          <t>Evidence Ref</t>
        </is>
      </c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03" t="n"/>
    </row>
    <row r="17" ht="20" customHeight="1">
      <c r="A17" s="711">
        <f>ROW()-ROW($A$17)+1</f>
        <v/>
      </c>
      <c r="B17" s="694" t="n"/>
      <c r="C17" s="694" t="n"/>
      <c r="D17" s="694" t="n"/>
      <c r="E17" s="694" t="n"/>
      <c r="F17" s="712" t="n"/>
      <c r="G17" s="694" t="n"/>
      <c r="H17" s="694" t="n"/>
      <c r="I17" s="694" t="n"/>
      <c r="J17" s="696" t="n"/>
      <c r="K17" s="696" t="n"/>
      <c r="L17" s="696" t="n"/>
      <c r="M17" s="696" t="n"/>
      <c r="N17" s="696" t="n"/>
      <c r="O17" s="696" t="n"/>
      <c r="P17" s="696" t="n"/>
      <c r="Q17" s="696" t="n"/>
      <c r="R17" s="696" t="n"/>
      <c r="S17" s="696" t="n"/>
      <c r="T17" s="696" t="n"/>
      <c r="U17" s="696" t="n"/>
      <c r="V17" s="696" t="n"/>
      <c r="W17" s="696" t="n"/>
      <c r="X17" s="696" t="n"/>
      <c r="Y17" s="696" t="n"/>
      <c r="Z17" s="696" t="n"/>
      <c r="AA17" s="696" t="n"/>
      <c r="AB17" s="696" t="n"/>
      <c r="AC17" s="696" t="n"/>
      <c r="AD17" s="696" t="n"/>
      <c r="AE17" s="696" t="n"/>
      <c r="AF17" s="696" t="n"/>
      <c r="AG17" s="696" t="n"/>
      <c r="AH17" s="696" t="n"/>
      <c r="AI17" s="696" t="n"/>
      <c r="AJ17" s="696" t="n"/>
      <c r="AK17" s="696" t="n"/>
      <c r="AL17" s="696" t="n"/>
      <c r="AM17" s="696" t="n"/>
      <c r="AN17" s="697" t="n"/>
    </row>
    <row r="18" ht="20" customHeight="1">
      <c r="A18" s="713">
        <f>ROW()-ROW($A$17)+1</f>
        <v/>
      </c>
      <c r="B18" s="714" t="n"/>
      <c r="C18" s="714" t="n"/>
      <c r="D18" s="714" t="n"/>
      <c r="E18" s="714" t="n"/>
      <c r="F18" s="715" t="n"/>
      <c r="G18" s="714" t="n"/>
      <c r="H18" s="714" t="n"/>
      <c r="I18" s="714" t="n"/>
      <c r="J18" s="701" t="n"/>
      <c r="K18" s="701" t="n"/>
      <c r="L18" s="701" t="n"/>
      <c r="M18" s="701" t="n"/>
      <c r="N18" s="701" t="n"/>
      <c r="O18" s="701" t="n"/>
      <c r="P18" s="701" t="n"/>
      <c r="Q18" s="701" t="n"/>
      <c r="R18" s="701" t="n"/>
      <c r="S18" s="701" t="n"/>
      <c r="T18" s="701" t="n"/>
      <c r="U18" s="701" t="n"/>
      <c r="V18" s="701" t="n"/>
      <c r="W18" s="701" t="n"/>
      <c r="X18" s="701" t="n"/>
      <c r="Y18" s="701" t="n"/>
      <c r="Z18" s="701" t="n"/>
      <c r="AA18" s="701" t="n"/>
      <c r="AB18" s="701" t="n"/>
      <c r="AC18" s="701" t="n"/>
      <c r="AD18" s="701" t="n"/>
      <c r="AE18" s="701" t="n"/>
      <c r="AF18" s="701" t="n"/>
      <c r="AG18" s="701" t="n"/>
      <c r="AH18" s="701" t="n"/>
      <c r="AI18" s="701" t="n"/>
      <c r="AJ18" s="701" t="n"/>
      <c r="AK18" s="701" t="n"/>
      <c r="AL18" s="701" t="n"/>
      <c r="AM18" s="701" t="n"/>
      <c r="AN18" s="702" t="n"/>
    </row>
    <row r="19" ht="20" customHeight="1">
      <c r="A19" s="713">
        <f>ROW()-ROW($A$17)+1</f>
        <v/>
      </c>
      <c r="B19" s="699" t="n"/>
      <c r="C19" s="699" t="n"/>
      <c r="D19" s="699" t="n"/>
      <c r="E19" s="699" t="n"/>
      <c r="F19" s="716" t="n"/>
      <c r="G19" s="699" t="n"/>
      <c r="H19" s="699" t="n"/>
      <c r="I19" s="699" t="n"/>
      <c r="J19" s="701" t="n"/>
      <c r="K19" s="701" t="n"/>
      <c r="L19" s="701" t="n"/>
      <c r="M19" s="701" t="n"/>
      <c r="N19" s="701" t="n"/>
      <c r="O19" s="701" t="n"/>
      <c r="P19" s="701" t="n"/>
      <c r="Q19" s="701" t="n"/>
      <c r="R19" s="701" t="n"/>
      <c r="S19" s="701" t="n"/>
      <c r="T19" s="701" t="n"/>
      <c r="U19" s="701" t="n"/>
      <c r="V19" s="701" t="n"/>
      <c r="W19" s="701" t="n"/>
      <c r="X19" s="701" t="n"/>
      <c r="Y19" s="701" t="n"/>
      <c r="Z19" s="701" t="n"/>
      <c r="AA19" s="701" t="n"/>
      <c r="AB19" s="701" t="n"/>
      <c r="AC19" s="701" t="n"/>
      <c r="AD19" s="701" t="n"/>
      <c r="AE19" s="701" t="n"/>
      <c r="AF19" s="701" t="n"/>
      <c r="AG19" s="701" t="n"/>
      <c r="AH19" s="701" t="n"/>
      <c r="AI19" s="701" t="n"/>
      <c r="AJ19" s="701" t="n"/>
      <c r="AK19" s="701" t="n"/>
      <c r="AL19" s="701" t="n"/>
      <c r="AM19" s="701" t="n"/>
      <c r="AN19" s="702" t="n"/>
    </row>
    <row r="20" ht="20" customHeight="1">
      <c r="A20" s="713">
        <f>ROW()-ROW($A$17)+1</f>
        <v/>
      </c>
      <c r="B20" s="714" t="n"/>
      <c r="C20" s="714" t="n"/>
      <c r="D20" s="714" t="n"/>
      <c r="E20" s="714" t="n"/>
      <c r="F20" s="715" t="n"/>
      <c r="G20" s="714" t="n"/>
      <c r="H20" s="714" t="n"/>
      <c r="I20" s="714" t="n"/>
      <c r="J20" s="701" t="n"/>
      <c r="K20" s="701" t="n"/>
      <c r="L20" s="701" t="n"/>
      <c r="M20" s="701" t="n"/>
      <c r="N20" s="701" t="n"/>
      <c r="O20" s="701" t="n"/>
      <c r="P20" s="701" t="n"/>
      <c r="Q20" s="701" t="n"/>
      <c r="R20" s="701" t="n"/>
      <c r="S20" s="701" t="n"/>
      <c r="T20" s="701" t="n"/>
      <c r="U20" s="701" t="n"/>
      <c r="V20" s="701" t="n"/>
      <c r="W20" s="701" t="n"/>
      <c r="X20" s="701" t="n"/>
      <c r="Y20" s="701" t="n"/>
      <c r="Z20" s="701" t="n"/>
      <c r="AA20" s="701" t="n"/>
      <c r="AB20" s="701" t="n"/>
      <c r="AC20" s="701" t="n"/>
      <c r="AD20" s="701" t="n"/>
      <c r="AE20" s="701" t="n"/>
      <c r="AF20" s="701" t="n"/>
      <c r="AG20" s="701" t="n"/>
      <c r="AH20" s="701" t="n"/>
      <c r="AI20" s="701" t="n"/>
      <c r="AJ20" s="701" t="n"/>
      <c r="AK20" s="701" t="n"/>
      <c r="AL20" s="701" t="n"/>
      <c r="AM20" s="701" t="n"/>
      <c r="AN20" s="702" t="n"/>
    </row>
    <row r="21" ht="20" customHeight="1">
      <c r="A21" s="713">
        <f>ROW()-ROW($A$17)+1</f>
        <v/>
      </c>
      <c r="B21" s="699" t="n"/>
      <c r="C21" s="699" t="n"/>
      <c r="D21" s="699" t="n"/>
      <c r="E21" s="699" t="n"/>
      <c r="F21" s="716" t="n"/>
      <c r="G21" s="699" t="n"/>
      <c r="H21" s="699" t="n"/>
      <c r="I21" s="699" t="n"/>
      <c r="J21" s="701" t="n"/>
      <c r="K21" s="701" t="n"/>
      <c r="L21" s="701" t="n"/>
      <c r="M21" s="701" t="n"/>
      <c r="N21" s="701" t="n"/>
      <c r="O21" s="701" t="n"/>
      <c r="P21" s="701" t="n"/>
      <c r="Q21" s="701" t="n"/>
      <c r="R21" s="701" t="n"/>
      <c r="S21" s="701" t="n"/>
      <c r="T21" s="701" t="n"/>
      <c r="U21" s="701" t="n"/>
      <c r="V21" s="701" t="n"/>
      <c r="W21" s="701" t="n"/>
      <c r="X21" s="701" t="n"/>
      <c r="Y21" s="701" t="n"/>
      <c r="Z21" s="701" t="n"/>
      <c r="AA21" s="701" t="n"/>
      <c r="AB21" s="701" t="n"/>
      <c r="AC21" s="701" t="n"/>
      <c r="AD21" s="701" t="n"/>
      <c r="AE21" s="701" t="n"/>
      <c r="AF21" s="701" t="n"/>
      <c r="AG21" s="701" t="n"/>
      <c r="AH21" s="701" t="n"/>
      <c r="AI21" s="701" t="n"/>
      <c r="AJ21" s="701" t="n"/>
      <c r="AK21" s="701" t="n"/>
      <c r="AL21" s="701" t="n"/>
      <c r="AM21" s="701" t="n"/>
      <c r="AN21" s="702" t="n"/>
    </row>
    <row r="22" ht="20" customHeight="1">
      <c r="A22" s="713">
        <f>ROW()-ROW($A$17)+1</f>
        <v/>
      </c>
      <c r="B22" s="714" t="n"/>
      <c r="C22" s="714" t="n"/>
      <c r="D22" s="714" t="n"/>
      <c r="E22" s="714" t="n"/>
      <c r="F22" s="715" t="n"/>
      <c r="G22" s="714" t="n"/>
      <c r="H22" s="714" t="n"/>
      <c r="I22" s="714" t="n"/>
      <c r="J22" s="701" t="n"/>
      <c r="K22" s="701" t="n"/>
      <c r="L22" s="701" t="n"/>
      <c r="M22" s="701" t="n"/>
      <c r="N22" s="701" t="n"/>
      <c r="O22" s="701" t="n"/>
      <c r="P22" s="701" t="n"/>
      <c r="Q22" s="701" t="n"/>
      <c r="R22" s="701" t="n"/>
      <c r="S22" s="701" t="n"/>
      <c r="T22" s="701" t="n"/>
      <c r="U22" s="701" t="n"/>
      <c r="V22" s="701" t="n"/>
      <c r="W22" s="701" t="n"/>
      <c r="X22" s="701" t="n"/>
      <c r="Y22" s="701" t="n"/>
      <c r="Z22" s="701" t="n"/>
      <c r="AA22" s="701" t="n"/>
      <c r="AB22" s="701" t="n"/>
      <c r="AC22" s="701" t="n"/>
      <c r="AD22" s="701" t="n"/>
      <c r="AE22" s="701" t="n"/>
      <c r="AF22" s="701" t="n"/>
      <c r="AG22" s="701" t="n"/>
      <c r="AH22" s="701" t="n"/>
      <c r="AI22" s="701" t="n"/>
      <c r="AJ22" s="701" t="n"/>
      <c r="AK22" s="701" t="n"/>
      <c r="AL22" s="701" t="n"/>
      <c r="AM22" s="701" t="n"/>
      <c r="AN22" s="702" t="n"/>
    </row>
    <row r="23" ht="20" customHeight="1">
      <c r="A23" s="713">
        <f>ROW()-ROW($A$17)+1</f>
        <v/>
      </c>
      <c r="B23" s="699" t="n"/>
      <c r="C23" s="699" t="n"/>
      <c r="D23" s="699" t="n"/>
      <c r="E23" s="699" t="n"/>
      <c r="F23" s="716" t="n"/>
      <c r="G23" s="699" t="n"/>
      <c r="H23" s="699" t="n"/>
      <c r="I23" s="699" t="n"/>
      <c r="J23" s="701" t="n"/>
      <c r="K23" s="701" t="n"/>
      <c r="L23" s="701" t="n"/>
      <c r="M23" s="701" t="n"/>
      <c r="N23" s="701" t="n"/>
      <c r="O23" s="701" t="n"/>
      <c r="P23" s="701" t="n"/>
      <c r="Q23" s="701" t="n"/>
      <c r="R23" s="701" t="n"/>
      <c r="S23" s="701" t="n"/>
      <c r="T23" s="701" t="n"/>
      <c r="U23" s="701" t="n"/>
      <c r="V23" s="701" t="n"/>
      <c r="W23" s="701" t="n"/>
      <c r="X23" s="701" t="n"/>
      <c r="Y23" s="701" t="n"/>
      <c r="Z23" s="701" t="n"/>
      <c r="AA23" s="701" t="n"/>
      <c r="AB23" s="701" t="n"/>
      <c r="AC23" s="701" t="n"/>
      <c r="AD23" s="701" t="n"/>
      <c r="AE23" s="701" t="n"/>
      <c r="AF23" s="701" t="n"/>
      <c r="AG23" s="701" t="n"/>
      <c r="AH23" s="701" t="n"/>
      <c r="AI23" s="701" t="n"/>
      <c r="AJ23" s="701" t="n"/>
      <c r="AK23" s="701" t="n"/>
      <c r="AL23" s="701" t="n"/>
      <c r="AM23" s="701" t="n"/>
      <c r="AN23" s="702" t="n"/>
    </row>
    <row r="24" ht="20" customHeight="1">
      <c r="A24" s="713">
        <f>ROW()-ROW($A$17)+1</f>
        <v/>
      </c>
      <c r="B24" s="714" t="n"/>
      <c r="C24" s="714" t="n"/>
      <c r="D24" s="714" t="n"/>
      <c r="E24" s="714" t="n"/>
      <c r="F24" s="715" t="n"/>
      <c r="G24" s="714" t="n"/>
      <c r="H24" s="714" t="n"/>
      <c r="I24" s="714" t="n"/>
      <c r="J24" s="701" t="n"/>
      <c r="K24" s="701" t="n"/>
      <c r="L24" s="701" t="n"/>
      <c r="M24" s="701" t="n"/>
      <c r="N24" s="701" t="n"/>
      <c r="O24" s="701" t="n"/>
      <c r="P24" s="701" t="n"/>
      <c r="Q24" s="701" t="n"/>
      <c r="R24" s="701" t="n"/>
      <c r="S24" s="701" t="n"/>
      <c r="T24" s="701" t="n"/>
      <c r="U24" s="701" t="n"/>
      <c r="V24" s="701" t="n"/>
      <c r="W24" s="701" t="n"/>
      <c r="X24" s="701" t="n"/>
      <c r="Y24" s="701" t="n"/>
      <c r="Z24" s="701" t="n"/>
      <c r="AA24" s="701" t="n"/>
      <c r="AB24" s="701" t="n"/>
      <c r="AC24" s="701" t="n"/>
      <c r="AD24" s="701" t="n"/>
      <c r="AE24" s="701" t="n"/>
      <c r="AF24" s="701" t="n"/>
      <c r="AG24" s="701" t="n"/>
      <c r="AH24" s="701" t="n"/>
      <c r="AI24" s="701" t="n"/>
      <c r="AJ24" s="701" t="n"/>
      <c r="AK24" s="701" t="n"/>
      <c r="AL24" s="701" t="n"/>
      <c r="AM24" s="701" t="n"/>
      <c r="AN24" s="702" t="n"/>
    </row>
    <row r="25" ht="20" customHeight="1">
      <c r="A25" s="713">
        <f>ROW()-ROW($A$17)+1</f>
        <v/>
      </c>
      <c r="B25" s="699" t="n"/>
      <c r="C25" s="699" t="n"/>
      <c r="D25" s="699" t="n"/>
      <c r="E25" s="699" t="n"/>
      <c r="F25" s="716" t="n"/>
      <c r="G25" s="699" t="n"/>
      <c r="H25" s="699" t="n"/>
      <c r="I25" s="699" t="n"/>
      <c r="J25" s="701" t="n"/>
      <c r="K25" s="701" t="n"/>
      <c r="L25" s="701" t="n"/>
      <c r="M25" s="701" t="n"/>
      <c r="N25" s="701" t="n"/>
      <c r="O25" s="701" t="n"/>
      <c r="P25" s="701" t="n"/>
      <c r="Q25" s="701" t="n"/>
      <c r="R25" s="701" t="n"/>
      <c r="S25" s="701" t="n"/>
      <c r="T25" s="701" t="n"/>
      <c r="U25" s="701" t="n"/>
      <c r="V25" s="701" t="n"/>
      <c r="W25" s="701" t="n"/>
      <c r="X25" s="701" t="n"/>
      <c r="Y25" s="701" t="n"/>
      <c r="Z25" s="701" t="n"/>
      <c r="AA25" s="701" t="n"/>
      <c r="AB25" s="701" t="n"/>
      <c r="AC25" s="701" t="n"/>
      <c r="AD25" s="701" t="n"/>
      <c r="AE25" s="701" t="n"/>
      <c r="AF25" s="701" t="n"/>
      <c r="AG25" s="701" t="n"/>
      <c r="AH25" s="701" t="n"/>
      <c r="AI25" s="701" t="n"/>
      <c r="AJ25" s="701" t="n"/>
      <c r="AK25" s="701" t="n"/>
      <c r="AL25" s="701" t="n"/>
      <c r="AM25" s="701" t="n"/>
      <c r="AN25" s="702" t="n"/>
    </row>
    <row r="26" ht="20" customHeight="1">
      <c r="A26" s="713">
        <f>ROW()-ROW($A$17)+1</f>
        <v/>
      </c>
      <c r="B26" s="714" t="n"/>
      <c r="C26" s="714" t="n"/>
      <c r="D26" s="714" t="n"/>
      <c r="E26" s="714" t="n"/>
      <c r="F26" s="715" t="n"/>
      <c r="G26" s="714" t="n"/>
      <c r="H26" s="714" t="n"/>
      <c r="I26" s="714" t="n"/>
      <c r="J26" s="701" t="n"/>
      <c r="K26" s="701" t="n"/>
      <c r="L26" s="701" t="n"/>
      <c r="M26" s="701" t="n"/>
      <c r="N26" s="701" t="n"/>
      <c r="O26" s="701" t="n"/>
      <c r="P26" s="701" t="n"/>
      <c r="Q26" s="701" t="n"/>
      <c r="R26" s="701" t="n"/>
      <c r="S26" s="701" t="n"/>
      <c r="T26" s="701" t="n"/>
      <c r="U26" s="701" t="n"/>
      <c r="V26" s="701" t="n"/>
      <c r="W26" s="701" t="n"/>
      <c r="X26" s="701" t="n"/>
      <c r="Y26" s="701" t="n"/>
      <c r="Z26" s="701" t="n"/>
      <c r="AA26" s="701" t="n"/>
      <c r="AB26" s="701" t="n"/>
      <c r="AC26" s="701" t="n"/>
      <c r="AD26" s="701" t="n"/>
      <c r="AE26" s="701" t="n"/>
      <c r="AF26" s="701" t="n"/>
      <c r="AG26" s="701" t="n"/>
      <c r="AH26" s="701" t="n"/>
      <c r="AI26" s="701" t="n"/>
      <c r="AJ26" s="701" t="n"/>
      <c r="AK26" s="701" t="n"/>
      <c r="AL26" s="701" t="n"/>
      <c r="AM26" s="701" t="n"/>
      <c r="AN26" s="702" t="n"/>
    </row>
    <row r="27" ht="20" customHeight="1">
      <c r="A27" s="717" t="n"/>
      <c r="B27" s="708" t="n"/>
      <c r="C27" s="708" t="n"/>
      <c r="D27" s="708" t="n"/>
      <c r="E27" s="708" t="n"/>
      <c r="F27" s="708" t="n"/>
      <c r="G27" s="708" t="n"/>
      <c r="H27" s="708" t="n"/>
      <c r="I27" s="708" t="n"/>
      <c r="J27" s="708" t="n"/>
      <c r="K27" s="708" t="n"/>
      <c r="L27" s="708" t="n"/>
      <c r="M27" s="708" t="n"/>
      <c r="N27" s="708" t="n"/>
      <c r="O27" s="708" t="n"/>
      <c r="P27" s="708" t="n"/>
      <c r="Q27" s="708" t="n"/>
      <c r="R27" s="708" t="n"/>
      <c r="S27" s="708" t="n"/>
      <c r="T27" s="708" t="n"/>
      <c r="U27" s="708" t="n"/>
      <c r="V27" s="708" t="n"/>
      <c r="W27" s="708" t="n"/>
      <c r="X27" s="708" t="n"/>
      <c r="Y27" s="708" t="n"/>
      <c r="Z27" s="708" t="n"/>
      <c r="AA27" s="708" t="n"/>
      <c r="AB27" s="708" t="n"/>
      <c r="AC27" s="708" t="n"/>
      <c r="AD27" s="708" t="n"/>
      <c r="AE27" s="708" t="n"/>
      <c r="AF27" s="708" t="n"/>
      <c r="AG27" s="708" t="n"/>
      <c r="AH27" s="708" t="n"/>
      <c r="AI27" s="708" t="n"/>
      <c r="AJ27" s="708" t="n"/>
      <c r="AK27" s="708" t="n"/>
      <c r="AL27" s="708" t="n"/>
      <c r="AM27" s="708" t="n"/>
      <c r="AN27" s="709" t="n"/>
    </row>
    <row r="28" ht="18" customHeight="1">
      <c r="A28" s="647" t="inlineStr">
        <is>
          <t>NOTICE  —  One line per material, capacity, quality or customer-risk condition.  Maintain traceability to the parent form and approved evidence references. Do not add, delete or resize structured columns. Keep dropdown values, review dates and status fields controlled.</t>
        </is>
      </c>
      <c r="B28" s="289" t="n"/>
      <c r="C28" s="289" t="n"/>
      <c r="D28" s="289" t="n"/>
      <c r="E28" s="289" t="n"/>
      <c r="F28" s="289" t="n"/>
      <c r="G28" s="289" t="n"/>
      <c r="H28" s="289" t="n"/>
      <c r="I28" s="289" t="n"/>
      <c r="J28" s="691" t="n"/>
      <c r="K28" s="691" t="n"/>
      <c r="L28" s="691" t="n"/>
      <c r="M28" s="691" t="n"/>
      <c r="N28" s="691" t="n"/>
      <c r="O28" s="691" t="n"/>
      <c r="P28" s="691" t="n"/>
      <c r="Q28" s="691" t="n"/>
      <c r="R28" s="691" t="n"/>
      <c r="S28" s="691" t="n"/>
      <c r="T28" s="691" t="n"/>
      <c r="U28" s="691" t="n"/>
      <c r="V28" s="691" t="n"/>
      <c r="W28" s="691" t="n"/>
      <c r="X28" s="691" t="n"/>
      <c r="Y28" s="691" t="n"/>
      <c r="Z28" s="691" t="n"/>
      <c r="AA28" s="691" t="n"/>
      <c r="AB28" s="691" t="n"/>
      <c r="AC28" s="691" t="n"/>
      <c r="AD28" s="691" t="n"/>
      <c r="AE28" s="691" t="n"/>
      <c r="AF28" s="691" t="n"/>
      <c r="AG28" s="691" t="n"/>
      <c r="AH28" s="691" t="n"/>
      <c r="AI28" s="691" t="n"/>
      <c r="AJ28" s="691" t="n"/>
      <c r="AK28" s="691" t="n"/>
      <c r="AL28" s="691" t="n"/>
      <c r="AM28" s="691" t="n"/>
      <c r="AN28" s="692" t="n"/>
    </row>
    <row r="29" hidden="1" outlineLevel="1"/>
    <row r="30" hidden="1" outlineLevel="1"/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</sheetData>
  <mergeCells count="28">
    <mergeCell ref="A7:I7"/>
    <mergeCell ref="F11:G11"/>
    <mergeCell ref="F10:G10"/>
    <mergeCell ref="H10:I10"/>
    <mergeCell ref="A11:B11"/>
    <mergeCell ref="C9:E9"/>
    <mergeCell ref="C5:G5"/>
    <mergeCell ref="C12:E12"/>
    <mergeCell ref="H9:I9"/>
    <mergeCell ref="C4:G4"/>
    <mergeCell ref="C11:E11"/>
    <mergeCell ref="F12:G12"/>
    <mergeCell ref="A14:I14"/>
    <mergeCell ref="C8:E8"/>
    <mergeCell ref="A1:B5"/>
    <mergeCell ref="F8:G8"/>
    <mergeCell ref="A12:B12"/>
    <mergeCell ref="H11:I11"/>
    <mergeCell ref="C1:G3"/>
    <mergeCell ref="A28:I28"/>
    <mergeCell ref="A8:B8"/>
    <mergeCell ref="F9:G9"/>
    <mergeCell ref="A15:I15"/>
    <mergeCell ref="H12:I12"/>
    <mergeCell ref="A10:B10"/>
    <mergeCell ref="H8:I8"/>
    <mergeCell ref="A9:B9"/>
    <mergeCell ref="C10:E10"/>
  </mergeCells>
  <dataValidations count="2">
    <dataValidation sqref="E17:E26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H17:H26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gridLines="0"/>
  <pageMargins left="0.197" right="0.197" top="0.197" bottom="0.197" header="0.1" footer="0.1"/>
  <pageSetup orientation="portrait" paperSize="9" fitToHeight="0" fitToWidth="1"/>
  <headerFooter>
    <oddHeader/>
    <oddFooter>&amp;C&amp;"Segoe UI"&amp;7 FRM-209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AN11"/>
  <sheetViews>
    <sheetView showGridLines="0" tabSelected="0" topLeftCell="A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hidden="1" width="2.33" customWidth="1" min="8" max="16384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611" t="inlineStr">
        <is>
          <t>REF LINKS</t>
        </is>
      </c>
      <c r="B1" s="718" t="n"/>
      <c r="C1" s="718" t="n"/>
      <c r="D1" s="718" t="n"/>
      <c r="E1" s="718" t="n"/>
      <c r="F1" s="718" t="n"/>
      <c r="G1" s="718" t="n"/>
      <c r="H1" s="612" t="n"/>
      <c r="I1" s="495" t="n"/>
      <c r="J1" s="496" t="n"/>
      <c r="K1" s="496" t="n"/>
      <c r="L1" s="496" t="n"/>
      <c r="M1" s="496" t="n"/>
      <c r="N1" s="496" t="n"/>
      <c r="O1" s="496" t="n"/>
      <c r="P1" s="496" t="n"/>
      <c r="Q1" s="496" t="n"/>
      <c r="R1" s="496" t="n"/>
      <c r="S1" s="496" t="n"/>
      <c r="T1" s="496" t="n"/>
      <c r="U1" s="496" t="n"/>
      <c r="V1" s="496" t="n"/>
      <c r="W1" s="496" t="n"/>
      <c r="X1" s="496" t="n"/>
      <c r="Y1" s="496" t="n"/>
      <c r="Z1" s="496" t="n"/>
      <c r="AA1" s="496" t="n"/>
      <c r="AB1" s="496" t="n"/>
      <c r="AC1" s="496" t="n"/>
      <c r="AD1" s="497" t="n"/>
      <c r="AE1" s="498" t="n"/>
      <c r="AF1" s="499" t="n"/>
      <c r="AG1" s="499" t="n"/>
      <c r="AH1" s="500" t="n"/>
      <c r="AI1" s="501" t="n"/>
      <c r="AJ1" s="502" t="n"/>
      <c r="AK1" s="502" t="n"/>
      <c r="AL1" s="502" t="n"/>
      <c r="AM1" s="502" t="n"/>
      <c r="AN1" s="503" t="n"/>
    </row>
    <row r="2" ht="15" customHeight="1">
      <c r="A2" s="613" t="inlineStr">
        <is>
          <t>Reference release package, planner snapshot and dossier evidence only.</t>
        </is>
      </c>
      <c r="H2" s="614" t="n"/>
      <c r="I2" s="506" t="n"/>
      <c r="J2" s="507" t="n"/>
      <c r="K2" s="507" t="n"/>
      <c r="L2" s="507" t="n"/>
      <c r="M2" s="507" t="n"/>
      <c r="N2" s="507" t="n"/>
      <c r="O2" s="507" t="n"/>
      <c r="P2" s="507" t="n"/>
      <c r="Q2" s="507" t="n"/>
      <c r="R2" s="507" t="n"/>
      <c r="S2" s="507" t="n"/>
      <c r="T2" s="507" t="n"/>
      <c r="U2" s="507" t="n"/>
      <c r="V2" s="507" t="n"/>
      <c r="W2" s="507" t="n"/>
      <c r="X2" s="507" t="n"/>
      <c r="Y2" s="507" t="n"/>
      <c r="Z2" s="507" t="n"/>
      <c r="AA2" s="507" t="n"/>
      <c r="AB2" s="507" t="n"/>
      <c r="AC2" s="507" t="n"/>
      <c r="AD2" s="508" t="n"/>
      <c r="AE2" s="509" t="n"/>
      <c r="AF2" s="510" t="n"/>
      <c r="AG2" s="510" t="n"/>
      <c r="AH2" s="511" t="n"/>
      <c r="AI2" s="512" t="n"/>
      <c r="AJ2" s="513" t="n"/>
      <c r="AK2" s="513" t="n"/>
      <c r="AL2" s="513" t="n"/>
      <c r="AM2" s="513" t="n"/>
      <c r="AN2" s="514" t="n"/>
    </row>
    <row r="3" ht="15" customHeight="1">
      <c r="A3" s="615" t="inlineStr">
        <is>
          <t>Ref Type</t>
        </is>
      </c>
      <c r="B3" s="616" t="inlineStr">
        <is>
          <t>Document / Record</t>
        </is>
      </c>
      <c r="C3" s="616" t="inlineStr">
        <is>
          <t>System of Record</t>
        </is>
      </c>
      <c r="D3" s="616" t="inlineStr">
        <is>
          <t>Unique Ref</t>
        </is>
      </c>
      <c r="E3" s="616" t="inlineStr">
        <is>
          <t>Owner</t>
        </is>
      </c>
      <c r="F3" s="616" t="inlineStr">
        <is>
          <t>Status</t>
        </is>
      </c>
      <c r="G3" s="616" t="inlineStr">
        <is>
          <t>Note</t>
        </is>
      </c>
      <c r="H3" s="614" t="n"/>
      <c r="I3" s="506" t="n"/>
      <c r="J3" s="507" t="n"/>
      <c r="K3" s="507" t="n"/>
      <c r="L3" s="507" t="n"/>
      <c r="M3" s="507" t="n"/>
      <c r="N3" s="507" t="n"/>
      <c r="O3" s="507" t="n"/>
      <c r="P3" s="507" t="n"/>
      <c r="Q3" s="507" t="n"/>
      <c r="R3" s="507" t="n"/>
      <c r="S3" s="507" t="n"/>
      <c r="T3" s="507" t="n"/>
      <c r="U3" s="507" t="n"/>
      <c r="V3" s="507" t="n"/>
      <c r="W3" s="507" t="n"/>
      <c r="X3" s="507" t="n"/>
      <c r="Y3" s="507" t="n"/>
      <c r="Z3" s="507" t="n"/>
      <c r="AA3" s="507" t="n"/>
      <c r="AB3" s="507" t="n"/>
      <c r="AC3" s="507" t="n"/>
      <c r="AD3" s="508" t="n"/>
      <c r="AE3" s="509" t="n"/>
      <c r="AF3" s="510" t="n"/>
      <c r="AG3" s="510" t="n"/>
      <c r="AH3" s="511" t="n"/>
      <c r="AI3" s="512" t="n"/>
      <c r="AJ3" s="513" t="n"/>
      <c r="AK3" s="513" t="n"/>
      <c r="AL3" s="513" t="n"/>
      <c r="AM3" s="513" t="n"/>
      <c r="AN3" s="514" t="n"/>
    </row>
    <row r="4" ht="15" customHeight="1">
      <c r="A4" s="617" t="n"/>
      <c r="B4" s="618" t="n"/>
      <c r="C4" s="618" t="n"/>
      <c r="D4" s="618" t="n"/>
      <c r="E4" s="618" t="n"/>
      <c r="F4" s="618" t="n"/>
      <c r="G4" s="618" t="n"/>
      <c r="H4" s="614" t="n"/>
      <c r="I4" s="515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6" t="n"/>
      <c r="S4" s="516" t="n"/>
      <c r="T4" s="516" t="n"/>
      <c r="U4" s="516" t="n"/>
      <c r="V4" s="516" t="n"/>
      <c r="W4" s="516" t="n"/>
      <c r="X4" s="516" t="n"/>
      <c r="Y4" s="516" t="n"/>
      <c r="Z4" s="516" t="n"/>
      <c r="AA4" s="516" t="n"/>
      <c r="AB4" s="516" t="n"/>
      <c r="AC4" s="516" t="n"/>
      <c r="AD4" s="517" t="n"/>
      <c r="AE4" s="509" t="n"/>
      <c r="AF4" s="510" t="n"/>
      <c r="AG4" s="510" t="n"/>
      <c r="AH4" s="511" t="n"/>
      <c r="AI4" s="512" t="n"/>
      <c r="AJ4" s="513" t="n"/>
      <c r="AK4" s="513" t="n"/>
      <c r="AL4" s="513" t="n"/>
      <c r="AM4" s="513" t="n"/>
      <c r="AN4" s="514" t="n"/>
    </row>
    <row r="5" ht="15" customHeight="1">
      <c r="A5" s="619" t="n"/>
      <c r="B5" s="620" t="n"/>
      <c r="C5" s="620" t="n"/>
      <c r="D5" s="620" t="n"/>
      <c r="E5" s="620" t="n"/>
      <c r="F5" s="620" t="n"/>
      <c r="G5" s="620" t="n"/>
      <c r="H5" s="621" t="n"/>
      <c r="I5" s="521" t="n"/>
      <c r="J5" s="522" t="n"/>
      <c r="K5" s="522" t="n"/>
      <c r="L5" s="522" t="n"/>
      <c r="M5" s="522" t="n"/>
      <c r="N5" s="522" t="n"/>
      <c r="O5" s="522" t="n"/>
      <c r="P5" s="522" t="n"/>
      <c r="Q5" s="522" t="n"/>
      <c r="R5" s="522" t="n"/>
      <c r="S5" s="522" t="n"/>
      <c r="T5" s="522" t="n"/>
      <c r="U5" s="522" t="n"/>
      <c r="V5" s="522" t="n"/>
      <c r="W5" s="522" t="n"/>
      <c r="X5" s="522" t="n"/>
      <c r="Y5" s="522" t="n"/>
      <c r="Z5" s="522" t="n"/>
      <c r="AA5" s="522" t="n"/>
      <c r="AB5" s="522" t="n"/>
      <c r="AC5" s="522" t="n"/>
      <c r="AD5" s="523" t="n"/>
      <c r="AE5" s="524" t="n"/>
      <c r="AF5" s="525" t="n"/>
      <c r="AG5" s="525" t="n"/>
      <c r="AH5" s="526" t="n"/>
      <c r="AI5" s="527" t="n"/>
      <c r="AJ5" s="528" t="n"/>
      <c r="AK5" s="528" t="n"/>
      <c r="AL5" s="528" t="n"/>
      <c r="AM5" s="528" t="n"/>
      <c r="AN5" s="529" t="n"/>
    </row>
    <row r="6">
      <c r="A6" s="622" t="n"/>
      <c r="B6" s="623" t="n"/>
      <c r="C6" s="623" t="n"/>
      <c r="D6" s="623" t="n"/>
      <c r="E6" s="623" t="n"/>
      <c r="F6" s="623" t="n"/>
      <c r="G6" s="623" t="n"/>
      <c r="H6" s="535" t="n"/>
      <c r="I6" s="535" t="n"/>
      <c r="J6" s="535" t="n"/>
      <c r="K6" s="535" t="n"/>
      <c r="L6" s="535" t="n"/>
      <c r="M6" s="535" t="n"/>
      <c r="N6" s="535" t="n"/>
      <c r="O6" s="535" t="n"/>
      <c r="P6" s="535" t="n"/>
      <c r="Q6" s="535" t="n"/>
      <c r="R6" s="535" t="n"/>
      <c r="S6" s="535" t="n"/>
      <c r="T6" s="535" t="n"/>
      <c r="U6" s="535" t="n"/>
      <c r="V6" s="535" t="n"/>
      <c r="W6" s="535" t="n"/>
      <c r="X6" s="535" t="n"/>
      <c r="Y6" s="535" t="n"/>
      <c r="Z6" s="535" t="n"/>
      <c r="AA6" s="535" t="n"/>
      <c r="AB6" s="535" t="n"/>
      <c r="AC6" s="535" t="n"/>
      <c r="AD6" s="535" t="n"/>
      <c r="AE6" s="535" t="n"/>
      <c r="AF6" s="535" t="n"/>
      <c r="AG6" s="535" t="n"/>
      <c r="AH6" s="535" t="n"/>
      <c r="AI6" s="535" t="n"/>
      <c r="AJ6" s="535" t="n"/>
      <c r="AK6" s="535" t="n"/>
      <c r="AL6" s="535" t="n"/>
      <c r="AM6" s="535" t="n"/>
      <c r="AN6" s="538" t="n"/>
    </row>
    <row r="7">
      <c r="A7" s="624" t="n"/>
      <c r="B7" s="625" t="n"/>
      <c r="C7" s="625" t="n"/>
      <c r="D7" s="625" t="n"/>
      <c r="E7" s="625" t="n"/>
      <c r="F7" s="625" t="n"/>
      <c r="G7" s="625" t="n"/>
      <c r="H7" s="398" t="n"/>
      <c r="I7" s="398" t="n"/>
      <c r="J7" s="398" t="n"/>
      <c r="K7" s="398" t="n"/>
      <c r="L7" s="398" t="n"/>
      <c r="M7" s="398" t="n"/>
      <c r="N7" s="398" t="n"/>
      <c r="O7" s="398" t="n"/>
      <c r="P7" s="398" t="n"/>
      <c r="Q7" s="398" t="n"/>
      <c r="R7" s="398" t="n"/>
      <c r="S7" s="398" t="n"/>
      <c r="T7" s="398" t="n"/>
      <c r="U7" s="398" t="n"/>
      <c r="V7" s="398" t="n"/>
      <c r="W7" s="398" t="n"/>
      <c r="X7" s="398" t="n"/>
      <c r="Y7" s="398" t="n"/>
      <c r="Z7" s="398" t="n"/>
      <c r="AA7" s="398" t="n"/>
      <c r="AB7" s="398" t="n"/>
      <c r="AC7" s="398" t="n"/>
      <c r="AD7" s="398" t="n"/>
      <c r="AE7" s="398" t="n"/>
      <c r="AF7" s="398" t="n"/>
      <c r="AG7" s="398" t="n"/>
      <c r="AH7" s="398" t="n"/>
      <c r="AI7" s="398" t="n"/>
      <c r="AJ7" s="398" t="n"/>
      <c r="AK7" s="398" t="n"/>
      <c r="AL7" s="398" t="n"/>
      <c r="AM7" s="398" t="n"/>
      <c r="AN7" s="542" t="n"/>
    </row>
    <row r="8" ht="20" customHeight="1">
      <c r="A8" s="626" t="n"/>
      <c r="B8" s="627" t="n"/>
      <c r="C8" s="627" t="n"/>
      <c r="D8" s="627" t="n"/>
      <c r="E8" s="627" t="n"/>
      <c r="F8" s="627" t="n"/>
      <c r="G8" s="627" t="n"/>
      <c r="H8" s="413" t="n"/>
      <c r="I8" s="413" t="n"/>
      <c r="J8" s="413" t="n"/>
      <c r="K8" s="413" t="n"/>
      <c r="L8" s="413" t="n"/>
      <c r="M8" s="413" t="n"/>
      <c r="N8" s="413" t="n"/>
      <c r="O8" s="413" t="n"/>
      <c r="P8" s="413" t="n"/>
      <c r="Q8" s="413" t="n"/>
      <c r="R8" s="413" t="n"/>
      <c r="S8" s="413" t="n"/>
      <c r="T8" s="413" t="n"/>
      <c r="U8" s="413" t="n"/>
      <c r="V8" s="413" t="n"/>
      <c r="W8" s="413" t="n"/>
      <c r="X8" s="413" t="n"/>
      <c r="Y8" s="413" t="n"/>
      <c r="Z8" s="413" t="n"/>
      <c r="AA8" s="413" t="n"/>
      <c r="AB8" s="413" t="n"/>
      <c r="AC8" s="413" t="n"/>
      <c r="AD8" s="413" t="n"/>
      <c r="AE8" s="413" t="n"/>
      <c r="AF8" s="413" t="n"/>
      <c r="AG8" s="413" t="n"/>
      <c r="AH8" s="413" t="n"/>
      <c r="AI8" s="413" t="n"/>
      <c r="AJ8" s="413" t="n"/>
      <c r="AK8" s="413" t="n"/>
      <c r="AL8" s="413" t="n"/>
      <c r="AM8" s="413" t="n"/>
      <c r="AN8" s="595" t="n"/>
    </row>
    <row r="9" ht="20" customHeight="1">
      <c r="A9" s="624" t="n"/>
      <c r="B9" s="625" t="n"/>
      <c r="C9" s="625" t="n"/>
      <c r="D9" s="625" t="n"/>
      <c r="E9" s="625" t="n"/>
      <c r="F9" s="625" t="n"/>
      <c r="G9" s="625" t="n"/>
      <c r="H9" s="413" t="n"/>
      <c r="I9" s="413" t="n"/>
      <c r="J9" s="413" t="n"/>
      <c r="K9" s="413" t="n"/>
      <c r="L9" s="413" t="n"/>
      <c r="M9" s="413" t="n"/>
      <c r="N9" s="413" t="n"/>
      <c r="O9" s="413" t="n"/>
      <c r="P9" s="413" t="n"/>
      <c r="Q9" s="413" t="n"/>
      <c r="R9" s="413" t="n"/>
      <c r="S9" s="413" t="n"/>
      <c r="T9" s="413" t="n"/>
      <c r="U9" s="413" t="n"/>
      <c r="V9" s="413" t="n"/>
      <c r="W9" s="413" t="n"/>
      <c r="X9" s="413" t="n"/>
      <c r="Y9" s="413" t="n"/>
      <c r="Z9" s="413" t="n"/>
      <c r="AA9" s="413" t="n"/>
      <c r="AB9" s="413" t="n"/>
      <c r="AC9" s="413" t="n"/>
      <c r="AD9" s="413" t="n"/>
      <c r="AE9" s="413" t="n"/>
      <c r="AF9" s="413" t="n"/>
      <c r="AG9" s="413" t="n"/>
      <c r="AH9" s="413" t="n"/>
      <c r="AI9" s="413" t="n"/>
      <c r="AJ9" s="413" t="n"/>
      <c r="AK9" s="413" t="n"/>
      <c r="AL9" s="413" t="n"/>
      <c r="AM9" s="413" t="n"/>
      <c r="AN9" s="595" t="n"/>
    </row>
    <row r="10" ht="20" customHeight="1">
      <c r="A10" s="626" t="n"/>
      <c r="B10" s="627" t="n"/>
      <c r="C10" s="627" t="n"/>
      <c r="D10" s="627" t="n"/>
      <c r="E10" s="627" t="n"/>
      <c r="F10" s="627" t="n"/>
      <c r="G10" s="627" t="n"/>
      <c r="H10" s="413" t="n"/>
      <c r="I10" s="413" t="n"/>
      <c r="J10" s="413" t="n"/>
      <c r="K10" s="413" t="n"/>
      <c r="L10" s="413" t="n"/>
      <c r="M10" s="413" t="n"/>
      <c r="N10" s="413" t="n"/>
      <c r="O10" s="413" t="n"/>
      <c r="P10" s="413" t="n"/>
      <c r="Q10" s="413" t="n"/>
      <c r="R10" s="413" t="n"/>
      <c r="S10" s="413" t="n"/>
      <c r="T10" s="413" t="n"/>
      <c r="U10" s="413" t="n"/>
      <c r="V10" s="413" t="n"/>
      <c r="W10" s="413" t="n"/>
      <c r="X10" s="413" t="n"/>
      <c r="Y10" s="413" t="n"/>
      <c r="Z10" s="413" t="n"/>
      <c r="AA10" s="413" t="n"/>
      <c r="AB10" s="413" t="n"/>
      <c r="AC10" s="413" t="n"/>
      <c r="AD10" s="413" t="n"/>
      <c r="AE10" s="413" t="n"/>
      <c r="AF10" s="413" t="n"/>
      <c r="AG10" s="413" t="n"/>
      <c r="AH10" s="413" t="n"/>
      <c r="AI10" s="413" t="n"/>
      <c r="AJ10" s="413" t="n"/>
      <c r="AK10" s="413" t="n"/>
      <c r="AL10" s="413" t="n"/>
      <c r="AM10" s="413" t="n"/>
      <c r="AN10" s="595" t="n"/>
    </row>
    <row r="11" ht="20" customHeight="1">
      <c r="A11" s="628" t="n"/>
      <c r="B11" s="629" t="n"/>
      <c r="C11" s="629" t="n"/>
      <c r="D11" s="629" t="n"/>
      <c r="E11" s="629" t="n"/>
      <c r="F11" s="629" t="n"/>
      <c r="G11" s="629" t="n"/>
      <c r="H11" s="600" t="n"/>
      <c r="I11" s="600" t="n"/>
      <c r="J11" s="600" t="n"/>
      <c r="K11" s="600" t="n"/>
      <c r="L11" s="600" t="n"/>
      <c r="M11" s="600" t="n"/>
      <c r="N11" s="600" t="n"/>
      <c r="O11" s="600" t="n"/>
      <c r="P11" s="600" t="n"/>
      <c r="Q11" s="600" t="n"/>
      <c r="R11" s="600" t="n"/>
      <c r="S11" s="600" t="n"/>
      <c r="T11" s="600" t="n"/>
      <c r="U11" s="600" t="n"/>
      <c r="V11" s="600" t="n"/>
      <c r="W11" s="600" t="n"/>
      <c r="X11" s="600" t="n"/>
      <c r="Y11" s="600" t="n"/>
      <c r="Z11" s="600" t="n"/>
      <c r="AA11" s="600" t="n"/>
      <c r="AB11" s="600" t="n"/>
      <c r="AC11" s="600" t="n"/>
      <c r="AD11" s="600" t="n"/>
      <c r="AE11" s="600" t="n"/>
      <c r="AF11" s="600" t="n"/>
      <c r="AG11" s="600" t="n"/>
      <c r="AH11" s="600" t="n"/>
      <c r="AI11" s="600" t="n"/>
      <c r="AJ11" s="600" t="n"/>
      <c r="AK11" s="600" t="n"/>
      <c r="AL11" s="600" t="n"/>
      <c r="AM11" s="600" t="n"/>
      <c r="AN11" s="601" t="n"/>
    </row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</sheetData>
  <mergeCells count="2">
    <mergeCell ref="A2:G2"/>
    <mergeCell ref="A1:G1"/>
  </mergeCells>
  <dataValidations count="2">
    <dataValidation sqref="E4:E11" showDropDown="0" showInputMessage="0" showErrorMessage="0" allowBlank="1" error="Use controlled value from REF_OWNER_PERSON_MASTER." prompt="Select from REF_OWNER_PERSON_MASTER." type="list">
      <formula1>=REF_OWNER_PERSON_MASTER</formula1>
    </dataValidation>
    <dataValidation sqref="F4:F11" showDropDown="0" showInputMessage="0" showErrorMessage="0" allowBlank="1" error="Use controlled value from VAL_STATUS_CORE." prompt="Select from VAL_STATUS_CORE." type="list">
      <formula1>=VAL_STATUS_CORE</formula1>
    </dataValidation>
  </dataValidations>
  <printOptions headings="0" gridLines="0"/>
  <pageMargins left="0.197" right="0.197" top="0.197" bottom="0.197" header="0.1" footer="0.1"/>
  <pageSetup orientation="portrait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2026-03-20T00:26:29Z</dcterms:created>
  <dcterms:modified xmlns:dcterms="http://purl.org/dc/terms/" xmlns:xsi="http://www.w3.org/2001/XMLSchema-instance" xsi:type="dcterms:W3CDTF">2026-03-22T04:16:13Z</dcterms:modified>
</cp:coreProperties>
</file>