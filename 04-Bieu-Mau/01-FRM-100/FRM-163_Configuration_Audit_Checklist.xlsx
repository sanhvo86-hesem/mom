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163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4532D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Số công việc
Số Job hoặc Work Order đang kiểm tra cấu hình.</t>
      </text>
    </comment>
    <comment ref="U9" authorId="0" shapeId="0">
      <text>
        <t>Mã chi tiết / Phiên bản
Part và revision đang sản xuất.</t>
      </text>
    </comment>
    <comment ref="A10" authorId="0" shapeId="0">
      <text>
        <t>Ngày kiểm tra
Ngày thực hiện audit cấu hình.</t>
      </text>
    </comment>
    <comment ref="U10" authorId="0" shapeId="0">
      <text>
        <t>Người kiểm tra
QA hoặc Engineering thực hiện audit.</t>
      </text>
    </comment>
    <comment ref="A12" authorId="0" shapeId="0">
      <text>
        <t>Xác nhận cấu hình
Kiểm tra tất cả tài liệu tại workstation khớp với phiên bản được phê duyệt.
AS9100D cl.8.1.2 yêu cầu quản lý cấu hình.</t>
      </text>
    </comment>
    <comment ref="F14" authorId="0" shapeId="0">
      <text>
        <t>Bản vẽ tại workstation
Kiểm tra bản vẽ tại máy đúng phiên bản mới nhất.
So sánh revision number trên bản vẽ với FRM-101 register.</t>
      </text>
    </comment>
    <comment ref="F15" authorId="0" shapeId="0">
      <text>
        <t>Chương trình CNC
Kiểm tra tên và phiên bản chương trình trên máy khớp với Setup Sheet.
Ví dụ: Setup Sheet ghi PROG-1234-R03 → máy phải load đúng R03.</t>
      </text>
    </comment>
    <comment ref="F16" authorId="0" shapeId="0">
      <text>
        <t>Vật liệu
Xác nhận vật liệu đang dùng khớp với specification trên bản vẽ.
Kiểm tra material cert.</t>
      </text>
    </comment>
    <comment ref="F17" authorId="0" shapeId="0">
      <text>
        <t>Dụng cụ cắt
Tất cả dao cắt khớp với tool list trong Setup Sheet.</t>
      </text>
    </comment>
    <comment ref="F18" authorId="0" shapeId="0">
      <text>
        <t>Đồ gá
Fixture ID trên máy khớp với ghi nhận trong Setup Sheet.</t>
      </text>
    </comment>
    <comment ref="F19" authorId="0" shapeId="0">
      <text>
        <t>Routing sản xuất
Trình tự operation trên job traveler đúng với kế hoạch.</t>
      </text>
    </comment>
    <comment ref="F20" authorId="0" shapeId="0">
      <text>
        <t>Thay đổi kỹ thuật
Tất cả ECO đã ban hành phải được phản ánh trong tài liệu tại máy.</t>
      </text>
    </comment>
    <comment ref="F21" authorId="0" shapeId="0">
      <text>
        <t>Kết luận tổng thể
PASS nếu tất cả hạng mục nhất quán.
FAIL nếu có bất kỳ không khớp nào → lập NCR.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CONFIGURATION AUDIT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FRM-163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Audit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Auditor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CONFIGURATION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>
        <f>ROW()-ROW($A$14)+1</f>
        <v/>
      </c>
      <c r="B14" s="491" t="n"/>
      <c r="C14" s="492" t="inlineStr">
        <is>
          <t>TEC</t>
        </is>
      </c>
      <c r="D14" s="493" t="n"/>
      <c r="E14" s="491" t="n"/>
      <c r="F14" s="494" t="inlineStr">
        <is>
          <t>Drawing revision at workstation matches released rev.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No obsolete drawings in use.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>
        <f>ROW()-ROW($A$14)+1</f>
        <v/>
      </c>
      <c r="B15" s="491" t="n"/>
      <c r="C15" s="492" t="inlineStr">
        <is>
          <t>TEC</t>
        </is>
      </c>
      <c r="D15" s="493" t="n"/>
      <c r="E15" s="491" t="n"/>
      <c r="F15" s="499" t="inlineStr">
        <is>
          <t>CNC program revision matches setup sheet.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Program name/rev verified on machine.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>
        <f>ROW()-ROW($A$14)+1</f>
        <v/>
      </c>
      <c r="B16" s="491" t="n"/>
      <c r="C16" s="492" t="inlineStr">
        <is>
          <t>TEC</t>
        </is>
      </c>
      <c r="D16" s="493" t="n"/>
      <c r="E16" s="491" t="n"/>
      <c r="F16" s="494" t="inlineStr">
        <is>
          <t>BOM / material matches specification.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Material cert aligns with drawing.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>
        <f>ROW()-ROW($A$14)+1</f>
        <v/>
      </c>
      <c r="B17" s="491" t="n"/>
      <c r="C17" s="492" t="inlineStr">
        <is>
          <t>TEC</t>
        </is>
      </c>
      <c r="D17" s="493" t="n"/>
      <c r="E17" s="491" t="n"/>
      <c r="F17" s="499" t="inlineStr">
        <is>
          <t>Tooling matches setup sheet tool list.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All tools accounted for.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>
        <f>ROW()-ROW($A$14)+1</f>
        <v/>
      </c>
      <c r="B18" s="491" t="n"/>
      <c r="C18" s="492" t="inlineStr">
        <is>
          <t>TEC</t>
        </is>
      </c>
      <c r="D18" s="493" t="n"/>
      <c r="E18" s="491" t="n"/>
      <c r="F18" s="494" t="inlineStr">
        <is>
          <t>Fixture / workholding matches setup sheet.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Fixture ID verified.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>
        <f>ROW()-ROW($A$14)+1</f>
        <v/>
      </c>
      <c r="B19" s="491" t="n"/>
      <c r="C19" s="492" t="inlineStr">
        <is>
          <t>TEC</t>
        </is>
      </c>
      <c r="D19" s="493" t="n"/>
      <c r="E19" s="491" t="n"/>
      <c r="F19" s="499" t="inlineStr">
        <is>
          <t>Routing / operation sequence correct.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Job traveler matches production plan.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>
        <f>ROW()-ROW($A$14)+1</f>
        <v/>
      </c>
      <c r="B20" s="491" t="n"/>
      <c r="C20" s="492" t="inlineStr">
        <is>
          <t>TEC</t>
        </is>
      </c>
      <c r="D20" s="493" t="n"/>
      <c r="E20" s="491" t="n"/>
      <c r="F20" s="494" t="inlineStr">
        <is>
          <t>ECO / change notices incorporated.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No pending unincorporated changes.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>
        <f>ROW()-ROW($A$14)+1</f>
        <v/>
      </c>
      <c r="B21" s="491" t="n"/>
      <c r="C21" s="500" t="inlineStr">
        <is>
          <t>QUA</t>
        </is>
      </c>
      <c r="D21" s="493" t="n"/>
      <c r="E21" s="491" t="n"/>
      <c r="F21" s="499" t="inlineStr">
        <is>
          <t>All configuration items consistent.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Overall config audit: PASS/FAIL.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>
        <f>ROW()-ROW($A$14)+1</f>
        <v/>
      </c>
      <c r="B22" s="491" t="n"/>
      <c r="C22" s="501" t="n"/>
      <c r="D22" s="493" t="n"/>
      <c r="E22" s="491" t="n"/>
      <c r="F22" s="502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1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3">
        <f>ROW()-ROW($A$14)+1</f>
        <v/>
      </c>
      <c r="B23" s="482" t="n"/>
      <c r="C23" s="504" t="n"/>
      <c r="D23" s="481" t="n"/>
      <c r="E23" s="482" t="n"/>
      <c r="F23" s="505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4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6" t="n"/>
      <c r="AG23" s="481" t="n"/>
      <c r="AH23" s="481" t="n"/>
      <c r="AI23" s="482" t="n"/>
      <c r="AJ23" s="507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08" t="inlineStr">
        <is>
          <t>Auditor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08" t="inlineStr">
        <is>
          <t>QA Manager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09" t="inlineStr">
        <is>
          <t>Name  /  Signature  /  Date</t>
        </is>
      </c>
      <c r="B27" s="510" t="n"/>
      <c r="C27" s="510" t="n"/>
      <c r="D27" s="510" t="n"/>
      <c r="E27" s="510" t="n"/>
      <c r="F27" s="510" t="n"/>
      <c r="G27" s="510" t="n"/>
      <c r="H27" s="510" t="n"/>
      <c r="I27" s="510" t="n"/>
      <c r="J27" s="510" t="n"/>
      <c r="K27" s="510" t="n"/>
      <c r="L27" s="510" t="n"/>
      <c r="M27" s="510" t="n"/>
      <c r="N27" s="510" t="n"/>
      <c r="O27" s="510" t="n"/>
      <c r="P27" s="510" t="n"/>
      <c r="Q27" s="510" t="n"/>
      <c r="R27" s="510" t="n"/>
      <c r="S27" s="510" t="n"/>
      <c r="T27" s="511" t="n"/>
      <c r="U27" s="509" t="inlineStr">
        <is>
          <t>Name  /  Signature  /  Date</t>
        </is>
      </c>
      <c r="V27" s="510" t="n"/>
      <c r="W27" s="510" t="n"/>
      <c r="X27" s="510" t="n"/>
      <c r="Y27" s="510" t="n"/>
      <c r="Z27" s="510" t="n"/>
      <c r="AA27" s="510" t="n"/>
      <c r="AB27" s="510" t="n"/>
      <c r="AC27" s="510" t="n"/>
      <c r="AD27" s="510" t="n"/>
      <c r="AE27" s="510" t="n"/>
      <c r="AF27" s="510" t="n"/>
      <c r="AG27" s="510" t="n"/>
      <c r="AH27" s="510" t="n"/>
      <c r="AI27" s="510" t="n"/>
      <c r="AJ27" s="510" t="n"/>
      <c r="AK27" s="510" t="n"/>
      <c r="AL27" s="510" t="n"/>
      <c r="AM27" s="510" t="n"/>
      <c r="AN27" s="511" t="n"/>
    </row>
    <row r="28" ht="26" customHeight="1" s="264">
      <c r="A28" s="512" t="n"/>
      <c r="T28" s="513" t="n"/>
      <c r="U28" s="512" t="n"/>
      <c r="AN28" s="513" t="n"/>
    </row>
    <row r="29" ht="26" customHeight="1" s="264">
      <c r="A29" s="514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4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5" t="inlineStr">
        <is>
          <t>NOTICE — AS9100D cl.8.1.2. Perform at first production run and when configuration changes. Ref: SOP-101. Retain: 5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2026-03-23T12:00:43Z</dcterms:modified>
  <cp:lastModifiedBy>Johny</cp:lastModifiedBy>
  <cp:lastPrinted>2026-03-23T09:06:37Z</cp:lastPrinted>
</cp:coreProperties>
</file>