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3_Gate" sheetId="1" state="visible" r:id="rId1"/>
    <sheet xmlns:r="http://schemas.openxmlformats.org/officeDocument/2006/relationships" name="FRM163_Finding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'FRM163_Gate'!$1:$13</definedName>
    <definedName name="_xlnm.Print_Area" localSheetId="0">'FRM163_Gate'!$A$1:$AN$33</definedName>
    <definedName name="_xlnm.Print_Titles" localSheetId="1">'FRM163_Findings'!$1:$12</definedName>
    <definedName name="_xlnm.Print_Area" localSheetId="1">'FRM163_Findings'!$A$1:$BD$19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3" fillId="0" borderId="0"/>
  </cellStyleXfs>
  <cellXfs count="4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pivotButton="0" quotePrefix="0" xfId="0">
      <alignment horizontal="left" vertical="center" wrapText="1" indent="1"/>
    </xf>
    <xf numFmtId="0" fontId="13" fillId="0" borderId="73" pivotButton="0" quotePrefix="0" xfId="0"/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" fillId="2" borderId="73" applyAlignment="1" pivotButton="0" quotePrefix="0" xfId="0">
      <alignment horizontal="left" vertical="center"/>
    </xf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1" fillId="12" borderId="145" applyAlignment="1" pivotButton="0" quotePrefix="0" xfId="0">
      <alignment horizontal="left" vertical="center" wrapText="1"/>
    </xf>
    <xf numFmtId="0" fontId="21" fillId="12" borderId="146" applyAlignment="1" pivotButton="0" quotePrefix="0" xfId="0">
      <alignment horizontal="left" vertical="center" wrapText="1"/>
    </xf>
    <xf numFmtId="0" fontId="21" fillId="12" borderId="147" applyAlignment="1" pivotButton="0" quotePrefix="0" xfId="0">
      <alignment horizontal="left" vertical="center" wrapText="1"/>
    </xf>
    <xf numFmtId="0" fontId="21" fillId="12" borderId="148" applyAlignment="1" pivotButton="0" quotePrefix="0" xfId="0">
      <alignment horizontal="left" vertical="center" wrapText="1"/>
    </xf>
    <xf numFmtId="0" fontId="0" fillId="0" borderId="151" pivotButton="0" quotePrefix="0" xfId="0"/>
    <xf numFmtId="0" fontId="0" fillId="0" borderId="152" pivotButton="0" quotePrefix="0" xfId="0"/>
    <xf numFmtId="0" fontId="0" fillId="2" borderId="117" pivotButton="0" quotePrefix="0" xfId="0"/>
    <xf numFmtId="0" fontId="0" fillId="2" borderId="118" pivotButton="0" quotePrefix="0" xfId="0"/>
    <xf numFmtId="0" fontId="0" fillId="2" borderId="119" pivotButton="0" quotePrefix="0" xfId="0"/>
    <xf numFmtId="0" fontId="5" fillId="3" borderId="133" applyAlignment="1" pivotButton="0" quotePrefix="0" xfId="0">
      <alignment horizontal="right" vertical="center" wrapText="1"/>
    </xf>
    <xf numFmtId="0" fontId="0" fillId="3" borderId="133" applyAlignment="1" pivotButton="0" quotePrefix="0" xfId="0">
      <alignment horizontal="right" vertical="center" wrapText="1"/>
    </xf>
    <xf numFmtId="0" fontId="0" fillId="3" borderId="22" applyAlignment="1" pivotButton="0" quotePrefix="0" xfId="0">
      <alignment horizontal="right" vertical="center" wrapText="1"/>
    </xf>
    <xf numFmtId="0" fontId="6" fillId="2" borderId="133" applyAlignment="1" pivotButton="0" quotePrefix="0" xfId="0">
      <alignment horizontal="left" vertical="center" wrapText="1" indent="1"/>
    </xf>
    <xf numFmtId="0" fontId="0" fillId="2" borderId="133" applyAlignment="1" pivotButton="0" quotePrefix="0" xfId="0">
      <alignment horizontal="left" vertical="center" wrapText="1" indent="1"/>
    </xf>
    <xf numFmtId="0" fontId="0" fillId="2" borderId="17" applyAlignment="1" pivotButton="0" quotePrefix="0" xfId="0">
      <alignment horizontal="left" vertical="center" wrapText="1" indent="1"/>
    </xf>
    <xf numFmtId="0" fontId="0" fillId="2" borderId="30" pivotButton="0" quotePrefix="0" xfId="0"/>
    <xf numFmtId="0" fontId="0" fillId="2" borderId="121" pivotButton="0" quotePrefix="0" xfId="0"/>
    <xf numFmtId="0" fontId="5" fillId="3" borderId="134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3" borderId="26" applyAlignment="1" pivotButton="0" quotePrefix="0" xfId="0">
      <alignment horizontal="right" vertical="center" wrapText="1"/>
    </xf>
    <xf numFmtId="0" fontId="0" fillId="2" borderId="134" applyAlignment="1" pivotButton="0" quotePrefix="0" xfId="0">
      <alignment horizontal="left" vertical="center" wrapText="1" indent="1"/>
    </xf>
    <xf numFmtId="0" fontId="0" fillId="2" borderId="28" applyAlignment="1" pivotButton="0" quotePrefix="0" xfId="0">
      <alignment horizontal="left" vertical="center" wrapText="1" indent="1"/>
    </xf>
    <xf numFmtId="0" fontId="2" fillId="2" borderId="19" applyAlignment="1" pivotButton="0" quotePrefix="0" xfId="0">
      <alignment horizontal="center" vertical="center" wrapText="1"/>
    </xf>
    <xf numFmtId="0" fontId="3" fillId="2" borderId="19" applyAlignment="1" pivotButton="0" quotePrefix="0" xfId="0">
      <alignment horizontal="center" vertical="center" wrapText="1"/>
    </xf>
    <xf numFmtId="0" fontId="13" fillId="2" borderId="31" pivotButton="0" quotePrefix="0" xfId="0"/>
    <xf numFmtId="0" fontId="13" fillId="2" borderId="126" pivotButton="0" quotePrefix="0" xfId="0"/>
    <xf numFmtId="0" fontId="13" fillId="2" borderId="34" pivotButton="0" quotePrefix="0" xfId="0"/>
    <xf numFmtId="0" fontId="13" fillId="3" borderId="126" applyAlignment="1" pivotButton="0" quotePrefix="0" xfId="0">
      <alignment horizontal="right" vertical="center" wrapText="1"/>
    </xf>
    <xf numFmtId="0" fontId="13" fillId="3" borderId="135" applyAlignment="1" pivotButton="0" quotePrefix="0" xfId="0">
      <alignment horizontal="right" vertical="center" wrapText="1"/>
    </xf>
    <xf numFmtId="0" fontId="13" fillId="2" borderId="126" applyAlignment="1" pivotButton="0" quotePrefix="0" xfId="0">
      <alignment horizontal="left" vertical="center" wrapText="1" indent="1"/>
    </xf>
    <xf numFmtId="0" fontId="13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wrapText="1"/>
    </xf>
    <xf numFmtId="0" fontId="0" fillId="2" borderId="35" pivotButton="0" quotePrefix="0" xfId="0"/>
    <xf numFmtId="0" fontId="12" fillId="4" borderId="131" applyAlignment="1" pivotButton="0" quotePrefix="0" xfId="0">
      <alignment horizontal="left" vertical="center" wrapText="1" indent="2"/>
    </xf>
    <xf numFmtId="0" fontId="12" fillId="4" borderId="132" applyAlignment="1" pivotButton="0" quotePrefix="0" xfId="0">
      <alignment horizontal="left" vertical="center" wrapText="1" indent="2"/>
    </xf>
    <xf numFmtId="0" fontId="0" fillId="2" borderId="126" pivotButton="0" quotePrefix="0" xfId="0"/>
    <xf numFmtId="0" fontId="0" fillId="2" borderId="34" pivotButton="0" quotePrefix="0" xfId="0"/>
    <xf numFmtId="0" fontId="0" fillId="3" borderId="126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26" applyAlignment="1" pivotButton="0" quotePrefix="0" xfId="0">
      <alignment horizontal="left" vertical="center" wrapText="1" indent="1"/>
    </xf>
    <xf numFmtId="0" fontId="0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indent="1"/>
    </xf>
    <xf numFmtId="0" fontId="20" fillId="2" borderId="153" applyAlignment="1" pivotButton="0" quotePrefix="0" xfId="0">
      <alignment horizontal="center" vertical="center" wrapText="1"/>
    </xf>
    <xf numFmtId="0" fontId="2" fillId="2" borderId="15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328" t="n"/>
      <c r="B1" s="2" t="n"/>
      <c r="C1" s="2" t="n"/>
      <c r="D1" s="2" t="n"/>
      <c r="E1" s="2" t="n"/>
      <c r="F1" s="2" t="n"/>
      <c r="G1" s="2" t="n"/>
      <c r="H1" s="3" t="n"/>
      <c r="I1" s="434" t="inlineStr">
        <is>
          <t>CONFIGURATION AUDIT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3" t="n"/>
      <c r="AE1" s="329" t="inlineStr">
        <is>
          <t>Form Code</t>
        </is>
      </c>
      <c r="AF1" s="2" t="n"/>
      <c r="AG1" s="2" t="n"/>
      <c r="AH1" s="330" t="n"/>
      <c r="AI1" s="331" t="inlineStr">
        <is>
          <t>FRM-163</t>
        </is>
      </c>
      <c r="AJ1" s="2" t="n"/>
      <c r="AK1" s="2" t="n"/>
      <c r="AL1" s="2" t="n"/>
      <c r="AM1" s="2" t="n"/>
      <c r="AN1" s="3" t="n"/>
    </row>
    <row r="2" ht="15" customHeight="1">
      <c r="A2" s="398" t="n"/>
      <c r="B2" s="399" t="n"/>
      <c r="C2" s="399" t="n"/>
      <c r="D2" s="399" t="n"/>
      <c r="E2" s="399" t="n"/>
      <c r="F2" s="399" t="n"/>
      <c r="G2" s="399" t="n"/>
      <c r="H2" s="400" t="n"/>
      <c r="I2" s="399" t="n"/>
      <c r="J2" s="399" t="n"/>
      <c r="K2" s="399" t="n"/>
      <c r="L2" s="399" t="n"/>
      <c r="M2" s="399" t="n"/>
      <c r="N2" s="399" t="n"/>
      <c r="O2" s="399" t="n"/>
      <c r="P2" s="399" t="n"/>
      <c r="Q2" s="399" t="n"/>
      <c r="R2" s="399" t="n"/>
      <c r="S2" s="399" t="n"/>
      <c r="T2" s="399" t="n"/>
      <c r="U2" s="399" t="n"/>
      <c r="V2" s="399" t="n"/>
      <c r="W2" s="399" t="n"/>
      <c r="X2" s="399" t="n"/>
      <c r="Y2" s="399" t="n"/>
      <c r="Z2" s="399" t="n"/>
      <c r="AA2" s="399" t="n"/>
      <c r="AB2" s="399" t="n"/>
      <c r="AC2" s="399" t="n"/>
      <c r="AD2" s="400" t="n"/>
      <c r="AE2" s="401" t="inlineStr">
        <is>
          <t>Revision</t>
        </is>
      </c>
      <c r="AF2" s="402" t="n"/>
      <c r="AG2" s="402" t="n"/>
      <c r="AH2" s="403" t="n"/>
      <c r="AI2" s="404" t="inlineStr">
        <is>
          <t>V0</t>
        </is>
      </c>
      <c r="AJ2" s="405" t="n"/>
      <c r="AK2" s="405" t="n"/>
      <c r="AL2" s="405" t="n"/>
      <c r="AM2" s="405" t="n"/>
      <c r="AN2" s="406" t="n"/>
    </row>
    <row r="3" ht="15" customHeight="1">
      <c r="A3" s="407" t="n"/>
      <c r="B3" s="55" t="n"/>
      <c r="C3" s="55" t="n"/>
      <c r="D3" s="55" t="n"/>
      <c r="E3" s="55" t="n"/>
      <c r="F3" s="55" t="n"/>
      <c r="G3" s="55" t="n"/>
      <c r="H3" s="408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  <c r="Z3" s="55" t="n"/>
      <c r="AA3" s="55" t="n"/>
      <c r="AB3" s="55" t="n"/>
      <c r="AC3" s="55" t="n"/>
      <c r="AD3" s="408" t="n"/>
      <c r="AE3" s="409" t="inlineStr">
        <is>
          <t>Eff. Date</t>
        </is>
      </c>
      <c r="AF3" s="410" t="n"/>
      <c r="AG3" s="410" t="n"/>
      <c r="AH3" s="411" t="n"/>
      <c r="AI3" s="300" t="inlineStr">
        <is>
          <t>YYYY-MM-DD</t>
        </is>
      </c>
      <c r="AJ3" s="412" t="n"/>
      <c r="AK3" s="412" t="n"/>
      <c r="AL3" s="412" t="n"/>
      <c r="AM3" s="412" t="n"/>
      <c r="AN3" s="413" t="n"/>
    </row>
    <row r="4" ht="15" customHeight="1">
      <c r="A4" s="407" t="n"/>
      <c r="B4" s="55" t="n"/>
      <c r="C4" s="55" t="n"/>
      <c r="D4" s="55" t="n"/>
      <c r="E4" s="55" t="n"/>
      <c r="F4" s="55" t="n"/>
      <c r="G4" s="55" t="n"/>
      <c r="H4" s="408" t="n"/>
      <c r="I4" s="414" t="inlineStr">
        <is>
          <t>Quality Management System · Controlled Document</t>
        </is>
      </c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  <c r="Z4" s="55" t="n"/>
      <c r="AA4" s="55" t="n"/>
      <c r="AB4" s="55" t="n"/>
      <c r="AC4" s="55" t="n"/>
      <c r="AD4" s="408" t="n"/>
      <c r="AE4" s="409" t="inlineStr">
        <is>
          <t>Owner</t>
        </is>
      </c>
      <c r="AF4" s="410" t="n"/>
      <c r="AG4" s="410" t="n"/>
      <c r="AH4" s="411" t="n"/>
      <c r="AI4" s="300" t="inlineStr">
        <is>
          <t>QMS</t>
        </is>
      </c>
      <c r="AJ4" s="412" t="n"/>
      <c r="AK4" s="412" t="n"/>
      <c r="AL4" s="412" t="n"/>
      <c r="AM4" s="412" t="n"/>
      <c r="AN4" s="413" t="n"/>
    </row>
    <row r="5" ht="15" customHeight="1">
      <c r="A5" s="407" t="n"/>
      <c r="B5" s="55" t="n"/>
      <c r="C5" s="55" t="n"/>
      <c r="D5" s="55" t="n"/>
      <c r="E5" s="55" t="n"/>
      <c r="F5" s="55" t="n"/>
      <c r="G5" s="55" t="n"/>
      <c r="H5" s="408" t="n"/>
      <c r="I5" s="415" t="inlineStr">
        <is>
          <t>HESEM Engineering · ISO 9001 / AS9100 · Semiconductor Equipment Parts</t>
        </is>
      </c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  <c r="Z5" s="55" t="n"/>
      <c r="AA5" s="55" t="n"/>
      <c r="AB5" s="55" t="n"/>
      <c r="AC5" s="55" t="n"/>
      <c r="AD5" s="408" t="n"/>
      <c r="AE5" s="409" t="inlineStr">
        <is>
          <t>Approved</t>
        </is>
      </c>
      <c r="AF5" s="410" t="n"/>
      <c r="AG5" s="410" t="n"/>
      <c r="AH5" s="411" t="n"/>
      <c r="AI5" s="300" t="inlineStr">
        <is>
          <t>Per authority matrix</t>
        </is>
      </c>
      <c r="AJ5" s="412" t="n"/>
      <c r="AK5" s="412" t="n"/>
      <c r="AL5" s="412" t="n"/>
      <c r="AM5" s="412" t="n"/>
      <c r="AN5" s="413" t="n"/>
    </row>
    <row r="6" ht="15" customHeight="1">
      <c r="A6" s="416" t="n"/>
      <c r="B6" s="417" t="n"/>
      <c r="C6" s="417" t="n"/>
      <c r="D6" s="417" t="n"/>
      <c r="E6" s="417" t="n"/>
      <c r="F6" s="417" t="n"/>
      <c r="G6" s="417" t="n"/>
      <c r="H6" s="418" t="n"/>
      <c r="I6" s="417" t="n"/>
      <c r="J6" s="417" t="n"/>
      <c r="K6" s="417" t="n"/>
      <c r="L6" s="417" t="n"/>
      <c r="M6" s="417" t="n"/>
      <c r="N6" s="417" t="n"/>
      <c r="O6" s="417" t="n"/>
      <c r="P6" s="417" t="n"/>
      <c r="Q6" s="417" t="n"/>
      <c r="R6" s="417" t="n"/>
      <c r="S6" s="417" t="n"/>
      <c r="T6" s="417" t="n"/>
      <c r="U6" s="417" t="n"/>
      <c r="V6" s="417" t="n"/>
      <c r="W6" s="417" t="n"/>
      <c r="X6" s="417" t="n"/>
      <c r="Y6" s="417" t="n"/>
      <c r="Z6" s="417" t="n"/>
      <c r="AA6" s="417" t="n"/>
      <c r="AB6" s="417" t="n"/>
      <c r="AC6" s="417" t="n"/>
      <c r="AD6" s="418" t="n"/>
      <c r="AE6" s="419" t="n"/>
      <c r="AF6" s="419" t="n"/>
      <c r="AG6" s="419" t="n"/>
      <c r="AH6" s="420" t="n"/>
      <c r="AI6" s="421" t="n"/>
      <c r="AJ6" s="421" t="n"/>
      <c r="AK6" s="421" t="n"/>
      <c r="AL6" s="421" t="n"/>
      <c r="AM6" s="421" t="n"/>
      <c r="AN6" s="422" t="n"/>
    </row>
    <row r="7" ht="4" customHeight="1">
      <c r="A7" s="423" t="n"/>
      <c r="B7" s="424" t="n"/>
      <c r="C7" s="424" t="n"/>
      <c r="D7" s="424" t="n"/>
      <c r="E7" s="424" t="n"/>
      <c r="F7" s="424" t="n"/>
      <c r="G7" s="424" t="n"/>
      <c r="H7" s="424" t="n"/>
      <c r="I7" s="424" t="n"/>
      <c r="J7" s="424" t="n"/>
      <c r="K7" s="424" t="n"/>
      <c r="L7" s="424" t="n"/>
      <c r="M7" s="424" t="n"/>
      <c r="N7" s="424" t="n"/>
      <c r="O7" s="424" t="n"/>
      <c r="P7" s="424" t="n"/>
      <c r="Q7" s="424" t="n"/>
      <c r="R7" s="424" t="n"/>
      <c r="S7" s="424" t="n"/>
      <c r="T7" s="424" t="n"/>
      <c r="U7" s="424" t="n"/>
      <c r="V7" s="424" t="n"/>
      <c r="W7" s="424" t="n"/>
      <c r="X7" s="424" t="n"/>
      <c r="Y7" s="424" t="n"/>
      <c r="Z7" s="424" t="n"/>
      <c r="AA7" s="424" t="n"/>
      <c r="AB7" s="424" t="n"/>
      <c r="AC7" s="424" t="n"/>
      <c r="AD7" s="424" t="n"/>
      <c r="AE7" s="424" t="n"/>
      <c r="AF7" s="424" t="n"/>
      <c r="AG7" s="424" t="n"/>
      <c r="AH7" s="424" t="n"/>
      <c r="AI7" s="424" t="n"/>
      <c r="AJ7" s="424" t="n"/>
      <c r="AK7" s="424" t="n"/>
      <c r="AL7" s="424" t="n"/>
      <c r="AM7" s="424" t="n"/>
      <c r="AN7" s="424" t="n"/>
    </row>
    <row r="8" ht="20" customHeight="1">
      <c r="A8" s="343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4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4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46" t="n"/>
    </row>
    <row r="9" ht="20" customHeight="1">
      <c r="A9" s="347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48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49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50" t="n"/>
    </row>
    <row r="10" ht="26" customHeight="1">
      <c r="A10" s="347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48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49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50" t="n"/>
    </row>
    <row r="11" ht="20" customHeight="1">
      <c r="A11" s="351" t="inlineStr">
        <is>
          <t>Configuration Audit ID</t>
        </is>
      </c>
      <c r="B11" s="17" t="n"/>
      <c r="C11" s="17" t="n"/>
      <c r="D11" s="17" t="n"/>
      <c r="E11" s="17" t="n"/>
      <c r="F11" s="17" t="n"/>
      <c r="G11" s="53" t="n"/>
      <c r="H11" s="352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4" t="n"/>
      <c r="U11" s="355" t="inlineStr">
        <is>
          <t>Part / Baseline / Release</t>
        </is>
      </c>
      <c r="V11" s="17" t="n"/>
      <c r="W11" s="17" t="n"/>
      <c r="X11" s="17" t="n"/>
      <c r="Y11" s="17" t="n"/>
      <c r="Z11" s="17" t="n"/>
      <c r="AA11" s="53" t="n"/>
      <c r="AB11" s="356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357" t="n"/>
    </row>
    <row r="12" ht="18" customHeight="1">
      <c r="A12" s="342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58" t="inlineStr">
        <is>
          <t>Category</t>
        </is>
      </c>
      <c r="F13" s="6" t="n"/>
      <c r="G13" s="6" t="n"/>
      <c r="H13" s="7" t="n"/>
      <c r="I13" s="35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58" t="inlineStr">
        <is>
          <t>Evidence</t>
        </is>
      </c>
      <c r="R13" s="6" t="n"/>
      <c r="S13" s="6" t="n"/>
      <c r="T13" s="6" t="n"/>
      <c r="U13" s="7" t="n"/>
      <c r="V13" s="358" t="inlineStr">
        <is>
          <t>Result</t>
        </is>
      </c>
      <c r="W13" s="6" t="n"/>
      <c r="X13" s="6" t="n"/>
      <c r="Y13" s="7" t="n"/>
      <c r="Z13" s="358" t="inlineStr">
        <is>
          <t>Owner</t>
        </is>
      </c>
      <c r="AA13" s="6" t="n"/>
      <c r="AB13" s="6" t="n"/>
      <c r="AC13" s="7" t="n"/>
      <c r="AD13" s="358" t="inlineStr">
        <is>
          <t>Due</t>
        </is>
      </c>
      <c r="AE13" s="6" t="n"/>
      <c r="AF13" s="6" t="n"/>
      <c r="AG13" s="7" t="n"/>
      <c r="AH13" s="359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60">
        <f>ROW()-ROW($A$14)+1</f>
        <v/>
      </c>
      <c r="B14" s="6" t="n"/>
      <c r="C14" s="6" t="n"/>
      <c r="D14" s="7" t="n"/>
      <c r="E14" s="361" t="inlineStr">
        <is>
          <t>CHECK</t>
        </is>
      </c>
      <c r="F14" s="26" t="n"/>
      <c r="G14" s="26" t="n"/>
      <c r="H14" s="27" t="n"/>
      <c r="I14" s="25" t="inlineStr">
        <is>
          <t>Approved baseline identified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Part / revision / document / tool / program baseline matches release package</t>
        </is>
      </c>
      <c r="R14" s="26" t="n"/>
      <c r="S14" s="26" t="n"/>
      <c r="T14" s="26" t="n"/>
      <c r="U14" s="27" t="n"/>
      <c r="V14" s="362" t="n"/>
      <c r="W14" s="26" t="n"/>
      <c r="X14" s="26" t="n"/>
      <c r="Y14" s="27" t="n"/>
      <c r="Z14" s="362" t="n"/>
      <c r="AA14" s="26" t="n"/>
      <c r="AB14" s="26" t="n"/>
      <c r="AC14" s="27" t="n"/>
      <c r="AD14" s="362" t="n"/>
      <c r="AE14" s="26" t="n"/>
      <c r="AF14" s="26" t="n"/>
      <c r="AG14" s="27" t="n"/>
      <c r="AH14" s="345" t="n"/>
      <c r="AI14" s="26" t="n"/>
      <c r="AJ14" s="26" t="n"/>
      <c r="AK14" s="26" t="n"/>
      <c r="AL14" s="26" t="n"/>
      <c r="AM14" s="26" t="n"/>
      <c r="AN14" s="346" t="n"/>
    </row>
    <row r="15" ht="20" customHeight="1">
      <c r="A15" s="363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Configuration records aligned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Identifiers and revision references match across controlled records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4" t="n"/>
      <c r="AI15" s="32" t="n"/>
      <c r="AJ15" s="32" t="n"/>
      <c r="AK15" s="32" t="n"/>
      <c r="AL15" s="32" t="n"/>
      <c r="AM15" s="32" t="n"/>
      <c r="AN15" s="350" t="n"/>
    </row>
    <row r="16" ht="20" customHeight="1">
      <c r="A16" s="363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Affected stock / WIP disposition defined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Old / replaced items cannot flow uncontrolled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9" t="n"/>
      <c r="AI16" s="32" t="n"/>
      <c r="AJ16" s="32" t="n"/>
      <c r="AK16" s="32" t="n"/>
      <c r="AL16" s="32" t="n"/>
      <c r="AM16" s="32" t="n"/>
      <c r="AN16" s="350" t="n"/>
    </row>
    <row r="17" ht="20" customHeight="1">
      <c r="A17" s="363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Linked changes closed or controlled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Open change items have owner / due or blocking status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4" t="n"/>
      <c r="AI17" s="32" t="n"/>
      <c r="AJ17" s="32" t="n"/>
      <c r="AK17" s="32" t="n"/>
      <c r="AL17" s="32" t="n"/>
      <c r="AM17" s="32" t="n"/>
      <c r="AN17" s="350" t="n"/>
    </row>
    <row r="18" ht="20" customHeight="1">
      <c r="A18" s="363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Training / deployment impact handled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Affected users and systems updated where required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9" t="n"/>
      <c r="AI18" s="32" t="n"/>
      <c r="AJ18" s="32" t="n"/>
      <c r="AK18" s="32" t="n"/>
      <c r="AL18" s="32" t="n"/>
      <c r="AM18" s="32" t="n"/>
      <c r="AN18" s="350" t="n"/>
    </row>
    <row r="19" ht="20" customHeight="1">
      <c r="A19" s="363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Evidence package complete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Audit evidence and references are complete and traceable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4" t="n"/>
      <c r="AI19" s="32" t="n"/>
      <c r="AJ19" s="32" t="n"/>
      <c r="AK19" s="32" t="n"/>
      <c r="AL19" s="32" t="n"/>
      <c r="AM19" s="32" t="n"/>
      <c r="AN19" s="350" t="n"/>
    </row>
    <row r="20" ht="20" customHeight="1">
      <c r="A20" s="351" t="inlineStr">
        <is>
          <t>PASS Count</t>
        </is>
      </c>
      <c r="B20" s="17" t="n"/>
      <c r="C20" s="17" t="n"/>
      <c r="D20" s="53" t="n"/>
      <c r="E20" s="365">
        <f>COUNTIF(V14:V19,"PASS")</f>
        <v/>
      </c>
      <c r="F20" s="17" t="n"/>
      <c r="G20" s="17" t="n"/>
      <c r="H20" s="17" t="n"/>
      <c r="I20" s="17" t="n"/>
      <c r="J20" s="53" t="n"/>
      <c r="K20" s="355" t="inlineStr">
        <is>
          <t>HOLD Count</t>
        </is>
      </c>
      <c r="L20" s="17" t="n"/>
      <c r="M20" s="17" t="n"/>
      <c r="N20" s="53" t="n"/>
      <c r="O20" s="365">
        <f>COUNTIF(V14:V19,"HOLD")</f>
        <v/>
      </c>
      <c r="P20" s="17" t="n"/>
      <c r="Q20" s="17" t="n"/>
      <c r="R20" s="17" t="n"/>
      <c r="S20" s="17" t="n"/>
      <c r="T20" s="53" t="n"/>
      <c r="U20" s="355" t="inlineStr">
        <is>
          <t>FAIL Count</t>
        </is>
      </c>
      <c r="V20" s="17" t="n"/>
      <c r="W20" s="17" t="n"/>
      <c r="X20" s="53" t="n"/>
      <c r="Y20" s="365">
        <f>COUNTIF(V14:V19,"FAIL")</f>
        <v/>
      </c>
      <c r="Z20" s="17" t="n"/>
      <c r="AA20" s="17" t="n"/>
      <c r="AB20" s="17" t="n"/>
      <c r="AC20" s="17" t="n"/>
      <c r="AD20" s="53" t="n"/>
      <c r="AE20" s="355" t="inlineStr">
        <is>
          <t>System Gate Signal</t>
        </is>
      </c>
      <c r="AF20" s="17" t="n"/>
      <c r="AG20" s="17" t="n"/>
      <c r="AH20" s="53" t="n"/>
      <c r="AI20" s="54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42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43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4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4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46" t="n"/>
    </row>
    <row r="23" ht="26" customHeight="1">
      <c r="A23" s="351" t="inlineStr">
        <is>
          <t>Due Date</t>
        </is>
      </c>
      <c r="B23" s="17" t="n"/>
      <c r="C23" s="17" t="n"/>
      <c r="D23" s="17" t="n"/>
      <c r="E23" s="17" t="n"/>
      <c r="F23" s="17" t="n"/>
      <c r="G23" s="53" t="n"/>
      <c r="H23" s="352" t="n"/>
      <c r="I23" s="353" t="n"/>
      <c r="J23" s="353" t="n"/>
      <c r="K23" s="353" t="n"/>
      <c r="L23" s="353" t="n"/>
      <c r="M23" s="353" t="n"/>
      <c r="N23" s="353" t="n"/>
      <c r="O23" s="353" t="n"/>
      <c r="P23" s="353" t="n"/>
      <c r="Q23" s="353" t="n"/>
      <c r="R23" s="353" t="n"/>
      <c r="S23" s="353" t="n"/>
      <c r="T23" s="354" t="n"/>
      <c r="U23" s="355" t="inlineStr">
        <is>
          <t>Escalation Ref</t>
        </is>
      </c>
      <c r="V23" s="17" t="n"/>
      <c r="W23" s="17" t="n"/>
      <c r="X23" s="17" t="n"/>
      <c r="Y23" s="17" t="n"/>
      <c r="Z23" s="17" t="n"/>
      <c r="AA23" s="53" t="n"/>
      <c r="AB23" s="356" t="n"/>
      <c r="AC23" s="353" t="n"/>
      <c r="AD23" s="353" t="n"/>
      <c r="AE23" s="353" t="n"/>
      <c r="AF23" s="353" t="n"/>
      <c r="AG23" s="353" t="n"/>
      <c r="AH23" s="353" t="n"/>
      <c r="AI23" s="353" t="n"/>
      <c r="AJ23" s="353" t="n"/>
      <c r="AK23" s="353" t="n"/>
      <c r="AL23" s="353" t="n"/>
      <c r="AM23" s="353" t="n"/>
      <c r="AN23" s="357" t="n"/>
    </row>
    <row r="24" ht="18" customHeight="1">
      <c r="A24" s="342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43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4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4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46" t="n"/>
    </row>
    <row r="26" ht="20" customHeight="1">
      <c r="A26" s="347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48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49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50" t="n"/>
    </row>
    <row r="27" ht="20" customHeight="1">
      <c r="A27" s="347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48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49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50" t="n"/>
    </row>
    <row r="28" ht="20" customHeight="1">
      <c r="A28" s="347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48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49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50" t="n"/>
    </row>
    <row r="29" ht="26" customHeight="1">
      <c r="A29" s="366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67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6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6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70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371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371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50" t="n"/>
    </row>
    <row r="33" ht="26" customHeight="1">
      <c r="A33" s="318" t="inlineStr">
        <is>
          <t>NOTICE: Configuration audits shall verify baseline identity, record alignment, stock or WIP disposition and control of linked changes with objective evidence for every decision.</t>
        </is>
      </c>
      <c r="B33" s="425" t="n"/>
      <c r="C33" s="425" t="n"/>
      <c r="D33" s="425" t="n"/>
      <c r="E33" s="425" t="n"/>
      <c r="F33" s="425" t="n"/>
      <c r="G33" s="425" t="n"/>
      <c r="H33" s="425" t="n"/>
      <c r="I33" s="425" t="n"/>
      <c r="J33" s="425" t="n"/>
      <c r="K33" s="425" t="n"/>
      <c r="L33" s="425" t="n"/>
      <c r="M33" s="425" t="n"/>
      <c r="N33" s="425" t="n"/>
      <c r="O33" s="425" t="n"/>
      <c r="P33" s="425" t="n"/>
      <c r="Q33" s="425" t="n"/>
      <c r="R33" s="425" t="n"/>
      <c r="S33" s="425" t="n"/>
      <c r="T33" s="425" t="n"/>
      <c r="U33" s="425" t="n"/>
      <c r="V33" s="425" t="n"/>
      <c r="W33" s="425" t="n"/>
      <c r="X33" s="425" t="n"/>
      <c r="Y33" s="425" t="n"/>
      <c r="Z33" s="425" t="n"/>
      <c r="AA33" s="425" t="n"/>
      <c r="AB33" s="425" t="n"/>
      <c r="AC33" s="425" t="n"/>
      <c r="AD33" s="425" t="n"/>
      <c r="AE33" s="425" t="n"/>
      <c r="AF33" s="425" t="n"/>
      <c r="AG33" s="425" t="n"/>
      <c r="AH33" s="425" t="n"/>
      <c r="AI33" s="425" t="n"/>
      <c r="AJ33" s="425" t="n"/>
      <c r="AK33" s="425" t="n"/>
      <c r="AL33" s="425" t="n"/>
      <c r="AM33" s="425" t="n"/>
      <c r="AN33" s="42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34" t="inlineStr">
        <is>
          <t>CONFIGURATION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29" t="inlineStr">
        <is>
          <t>Form Code</t>
        </is>
      </c>
      <c r="AR1" s="2" t="n"/>
      <c r="AS1" s="2" t="n"/>
      <c r="AT1" s="2" t="n"/>
      <c r="AU1" s="2" t="n"/>
      <c r="AV1" s="330" t="n"/>
      <c r="AW1" s="331" t="inlineStr">
        <is>
          <t>FRM-163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98" t="n"/>
      <c r="B2" s="399" t="n"/>
      <c r="C2" s="399" t="n"/>
      <c r="D2" s="399" t="n"/>
      <c r="E2" s="399" t="n"/>
      <c r="F2" s="399" t="n"/>
      <c r="G2" s="399" t="n"/>
      <c r="H2" s="399" t="n"/>
      <c r="I2" s="399" t="n"/>
      <c r="J2" s="399" t="n"/>
      <c r="K2" s="400" t="n"/>
      <c r="L2" s="399" t="n"/>
      <c r="M2" s="399" t="n"/>
      <c r="N2" s="399" t="n"/>
      <c r="O2" s="399" t="n"/>
      <c r="P2" s="399" t="n"/>
      <c r="Q2" s="399" t="n"/>
      <c r="R2" s="399" t="n"/>
      <c r="S2" s="399" t="n"/>
      <c r="T2" s="399" t="n"/>
      <c r="U2" s="399" t="n"/>
      <c r="V2" s="399" t="n"/>
      <c r="W2" s="399" t="n"/>
      <c r="X2" s="399" t="n"/>
      <c r="Y2" s="399" t="n"/>
      <c r="Z2" s="399" t="n"/>
      <c r="AA2" s="399" t="n"/>
      <c r="AB2" s="399" t="n"/>
      <c r="AC2" s="399" t="n"/>
      <c r="AD2" s="399" t="n"/>
      <c r="AE2" s="399" t="n"/>
      <c r="AF2" s="399" t="n"/>
      <c r="AG2" s="399" t="n"/>
      <c r="AH2" s="399" t="n"/>
      <c r="AI2" s="399" t="n"/>
      <c r="AJ2" s="399" t="n"/>
      <c r="AK2" s="399" t="n"/>
      <c r="AL2" s="399" t="n"/>
      <c r="AM2" s="399" t="n"/>
      <c r="AN2" s="399" t="n"/>
      <c r="AO2" s="399" t="n"/>
      <c r="AP2" s="400" t="n"/>
      <c r="AQ2" s="401" t="inlineStr">
        <is>
          <t>Revision</t>
        </is>
      </c>
      <c r="AR2" s="402" t="n"/>
      <c r="AS2" s="402" t="n"/>
      <c r="AT2" s="402" t="n"/>
      <c r="AU2" s="402" t="n"/>
      <c r="AV2" s="403" t="n"/>
      <c r="AW2" s="404" t="inlineStr">
        <is>
          <t>V0</t>
        </is>
      </c>
      <c r="AX2" s="405" t="n"/>
      <c r="AY2" s="405" t="n"/>
      <c r="AZ2" s="405" t="n"/>
      <c r="BA2" s="405" t="n"/>
      <c r="BB2" s="405" t="n"/>
      <c r="BC2" s="405" t="n"/>
      <c r="BD2" s="406" t="n"/>
    </row>
    <row r="3" ht="15" customHeight="1">
      <c r="A3" s="407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408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  <c r="Z3" s="55" t="n"/>
      <c r="AA3" s="55" t="n"/>
      <c r="AB3" s="55" t="n"/>
      <c r="AC3" s="55" t="n"/>
      <c r="AD3" s="55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408" t="n"/>
      <c r="AQ3" s="409" t="inlineStr">
        <is>
          <t>Eff. Date</t>
        </is>
      </c>
      <c r="AR3" s="410" t="n"/>
      <c r="AS3" s="410" t="n"/>
      <c r="AT3" s="410" t="n"/>
      <c r="AU3" s="410" t="n"/>
      <c r="AV3" s="411" t="n"/>
      <c r="AW3" s="300" t="inlineStr">
        <is>
          <t>YYYY-MM-DD</t>
        </is>
      </c>
      <c r="AX3" s="412" t="n"/>
      <c r="AY3" s="412" t="n"/>
      <c r="AZ3" s="412" t="n"/>
      <c r="BA3" s="412" t="n"/>
      <c r="BB3" s="412" t="n"/>
      <c r="BC3" s="412" t="n"/>
      <c r="BD3" s="413" t="n"/>
    </row>
    <row r="4" ht="15" customHeight="1">
      <c r="A4" s="407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408" t="n"/>
      <c r="L4" s="414" t="inlineStr">
        <is>
          <t>Quality Management System · Controlled Document</t>
        </is>
      </c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  <c r="Z4" s="55" t="n"/>
      <c r="AA4" s="55" t="n"/>
      <c r="AB4" s="55" t="n"/>
      <c r="AC4" s="55" t="n"/>
      <c r="AD4" s="55" t="n"/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408" t="n"/>
      <c r="AQ4" s="409" t="inlineStr">
        <is>
          <t>Owner</t>
        </is>
      </c>
      <c r="AR4" s="410" t="n"/>
      <c r="AS4" s="410" t="n"/>
      <c r="AT4" s="410" t="n"/>
      <c r="AU4" s="410" t="n"/>
      <c r="AV4" s="411" t="n"/>
      <c r="AW4" s="300" t="inlineStr">
        <is>
          <t>QMS</t>
        </is>
      </c>
      <c r="AX4" s="412" t="n"/>
      <c r="AY4" s="412" t="n"/>
      <c r="AZ4" s="412" t="n"/>
      <c r="BA4" s="412" t="n"/>
      <c r="BB4" s="412" t="n"/>
      <c r="BC4" s="412" t="n"/>
      <c r="BD4" s="413" t="n"/>
    </row>
    <row r="5" ht="15" customHeight="1">
      <c r="A5" s="407" t="n"/>
      <c r="B5" s="55" t="n"/>
      <c r="C5" s="55" t="n"/>
      <c r="D5" s="55" t="n"/>
      <c r="E5" s="55" t="n"/>
      <c r="F5" s="55" t="n"/>
      <c r="G5" s="55" t="n"/>
      <c r="H5" s="55" t="n"/>
      <c r="I5" s="55" t="n"/>
      <c r="J5" s="55" t="n"/>
      <c r="K5" s="408" t="n"/>
      <c r="L5" s="415" t="inlineStr">
        <is>
          <t>HESEM Engineering · ISO 9001 / AS9100 · Semiconductor Equipment Parts</t>
        </is>
      </c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  <c r="Z5" s="55" t="n"/>
      <c r="AA5" s="55" t="n"/>
      <c r="AB5" s="55" t="n"/>
      <c r="AC5" s="55" t="n"/>
      <c r="AD5" s="55" t="n"/>
      <c r="AE5" s="55" t="n"/>
      <c r="AF5" s="55" t="n"/>
      <c r="AG5" s="55" t="n"/>
      <c r="AH5" s="55" t="n"/>
      <c r="AI5" s="55" t="n"/>
      <c r="AJ5" s="55" t="n"/>
      <c r="AK5" s="55" t="n"/>
      <c r="AL5" s="55" t="n"/>
      <c r="AM5" s="55" t="n"/>
      <c r="AN5" s="55" t="n"/>
      <c r="AO5" s="55" t="n"/>
      <c r="AP5" s="408" t="n"/>
      <c r="AQ5" s="409" t="inlineStr">
        <is>
          <t>Approved</t>
        </is>
      </c>
      <c r="AR5" s="410" t="n"/>
      <c r="AS5" s="410" t="n"/>
      <c r="AT5" s="410" t="n"/>
      <c r="AU5" s="410" t="n"/>
      <c r="AV5" s="411" t="n"/>
      <c r="AW5" s="300" t="inlineStr">
        <is>
          <t>Per authority matrix</t>
        </is>
      </c>
      <c r="AX5" s="412" t="n"/>
      <c r="AY5" s="412" t="n"/>
      <c r="AZ5" s="412" t="n"/>
      <c r="BA5" s="412" t="n"/>
      <c r="BB5" s="412" t="n"/>
      <c r="BC5" s="412" t="n"/>
      <c r="BD5" s="413" t="n"/>
    </row>
    <row r="6" ht="15" customHeight="1">
      <c r="A6" s="416" t="n"/>
      <c r="B6" s="417" t="n"/>
      <c r="C6" s="417" t="n"/>
      <c r="D6" s="417" t="n"/>
      <c r="E6" s="417" t="n"/>
      <c r="F6" s="417" t="n"/>
      <c r="G6" s="417" t="n"/>
      <c r="H6" s="417" t="n"/>
      <c r="I6" s="417" t="n"/>
      <c r="J6" s="417" t="n"/>
      <c r="K6" s="418" t="n"/>
      <c r="L6" s="417" t="n"/>
      <c r="M6" s="417" t="n"/>
      <c r="N6" s="417" t="n"/>
      <c r="O6" s="417" t="n"/>
      <c r="P6" s="417" t="n"/>
      <c r="Q6" s="417" t="n"/>
      <c r="R6" s="417" t="n"/>
      <c r="S6" s="417" t="n"/>
      <c r="T6" s="417" t="n"/>
      <c r="U6" s="417" t="n"/>
      <c r="V6" s="417" t="n"/>
      <c r="W6" s="417" t="n"/>
      <c r="X6" s="417" t="n"/>
      <c r="Y6" s="417" t="n"/>
      <c r="Z6" s="417" t="n"/>
      <c r="AA6" s="417" t="n"/>
      <c r="AB6" s="417" t="n"/>
      <c r="AC6" s="417" t="n"/>
      <c r="AD6" s="417" t="n"/>
      <c r="AE6" s="417" t="n"/>
      <c r="AF6" s="417" t="n"/>
      <c r="AG6" s="417" t="n"/>
      <c r="AH6" s="417" t="n"/>
      <c r="AI6" s="417" t="n"/>
      <c r="AJ6" s="417" t="n"/>
      <c r="AK6" s="417" t="n"/>
      <c r="AL6" s="417" t="n"/>
      <c r="AM6" s="417" t="n"/>
      <c r="AN6" s="417" t="n"/>
      <c r="AO6" s="417" t="n"/>
      <c r="AP6" s="418" t="n"/>
      <c r="AQ6" s="419" t="n"/>
      <c r="AR6" s="419" t="n"/>
      <c r="AS6" s="419" t="n"/>
      <c r="AT6" s="419" t="n"/>
      <c r="AU6" s="419" t="n"/>
      <c r="AV6" s="420" t="n"/>
      <c r="AW6" s="421" t="n"/>
      <c r="AX6" s="421" t="n"/>
      <c r="AY6" s="421" t="n"/>
      <c r="AZ6" s="421" t="n"/>
      <c r="BA6" s="421" t="n"/>
      <c r="BB6" s="421" t="n"/>
      <c r="BC6" s="421" t="n"/>
      <c r="BD6" s="422" t="n"/>
    </row>
    <row r="7" ht="4" customHeight="1">
      <c r="A7" s="423" t="n"/>
      <c r="B7" s="424" t="n"/>
      <c r="C7" s="424" t="n"/>
      <c r="D7" s="424" t="n"/>
      <c r="E7" s="424" t="n"/>
      <c r="F7" s="424" t="n"/>
      <c r="G7" s="424" t="n"/>
      <c r="H7" s="424" t="n"/>
      <c r="I7" s="424" t="n"/>
      <c r="J7" s="424" t="n"/>
      <c r="K7" s="424" t="n"/>
      <c r="L7" s="424" t="n"/>
      <c r="M7" s="424" t="n"/>
      <c r="N7" s="424" t="n"/>
      <c r="O7" s="424" t="n"/>
      <c r="P7" s="424" t="n"/>
      <c r="Q7" s="424" t="n"/>
      <c r="R7" s="424" t="n"/>
      <c r="S7" s="424" t="n"/>
      <c r="T7" s="424" t="n"/>
      <c r="U7" s="424" t="n"/>
      <c r="V7" s="424" t="n"/>
      <c r="W7" s="424" t="n"/>
      <c r="X7" s="424" t="n"/>
      <c r="Y7" s="424" t="n"/>
      <c r="Z7" s="424" t="n"/>
      <c r="AA7" s="424" t="n"/>
      <c r="AB7" s="424" t="n"/>
      <c r="AC7" s="424" t="n"/>
      <c r="AD7" s="424" t="n"/>
      <c r="AE7" s="424" t="n"/>
      <c r="AF7" s="424" t="n"/>
      <c r="AG7" s="424" t="n"/>
      <c r="AH7" s="424" t="n"/>
      <c r="AI7" s="424" t="n"/>
      <c r="AJ7" s="424" t="n"/>
      <c r="AK7" s="424" t="n"/>
      <c r="AL7" s="424" t="n"/>
      <c r="AM7" s="424" t="n"/>
      <c r="AN7" s="424" t="n"/>
      <c r="AO7" s="424" t="n"/>
      <c r="AP7" s="424" t="n"/>
      <c r="AQ7" s="424" t="n"/>
      <c r="AR7" s="424" t="n"/>
      <c r="AS7" s="424" t="n"/>
      <c r="AT7" s="424" t="n"/>
      <c r="AU7" s="424" t="n"/>
      <c r="AV7" s="424" t="n"/>
      <c r="AW7" s="424" t="n"/>
      <c r="AX7" s="424" t="n"/>
      <c r="AY7" s="424" t="n"/>
      <c r="AZ7" s="424" t="n"/>
      <c r="BA7" s="424" t="n"/>
      <c r="BB7" s="424" t="n"/>
      <c r="BC7" s="424" t="n"/>
      <c r="BD7" s="424" t="n"/>
    </row>
    <row r="8" ht="20" customHeight="1">
      <c r="A8" s="34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4" t="inlineStr">
        <is>
          <t>Detailed finding / action sheet linked from the primary gate page.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7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7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5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65" t="inlineStr">
        <is>
          <t>Configuration audit gate only; do not replace baseline release records.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377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378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4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Finding ID</t>
        </is>
      </c>
      <c r="B12" s="6" t="n"/>
      <c r="C12" s="6" t="n"/>
      <c r="D12" s="6" t="n"/>
      <c r="E12" s="7" t="n"/>
      <c r="F12" s="358" t="inlineStr">
        <is>
          <t>Area or Clause</t>
        </is>
      </c>
      <c r="G12" s="6" t="n"/>
      <c r="H12" s="6" t="n"/>
      <c r="I12" s="6" t="n"/>
      <c r="J12" s="7" t="n"/>
      <c r="K12" s="35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358" t="inlineStr">
        <is>
          <t>Severity</t>
        </is>
      </c>
      <c r="T12" s="6" t="n"/>
      <c r="U12" s="6" t="n"/>
      <c r="V12" s="6" t="n"/>
      <c r="W12" s="6" t="n"/>
      <c r="X12" s="7" t="n"/>
      <c r="Y12" s="358" t="inlineStr">
        <is>
          <t>Containment Need</t>
        </is>
      </c>
      <c r="Z12" s="6" t="n"/>
      <c r="AA12" s="6" t="n"/>
      <c r="AB12" s="6" t="n"/>
      <c r="AC12" s="6" t="n"/>
      <c r="AD12" s="7" t="n"/>
      <c r="AE12" s="358" t="inlineStr">
        <is>
          <t>Owner</t>
        </is>
      </c>
      <c r="AF12" s="6" t="n"/>
      <c r="AG12" s="6" t="n"/>
      <c r="AH12" s="6" t="n"/>
      <c r="AI12" s="6" t="n"/>
      <c r="AJ12" s="7" t="n"/>
      <c r="AK12" s="358" t="inlineStr">
        <is>
          <t>Due Date</t>
        </is>
      </c>
      <c r="AL12" s="6" t="n"/>
      <c r="AM12" s="6" t="n"/>
      <c r="AN12" s="6" t="n"/>
      <c r="AO12" s="6" t="n"/>
      <c r="AP12" s="7" t="n"/>
      <c r="AQ12" s="358" t="inlineStr">
        <is>
          <t>Status</t>
        </is>
      </c>
      <c r="AR12" s="6" t="n"/>
      <c r="AS12" s="6" t="n"/>
      <c r="AT12" s="6" t="n"/>
      <c r="AU12" s="6" t="n"/>
      <c r="AV12" s="7" t="n"/>
      <c r="AW12" s="359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79" t="n"/>
      <c r="B13" s="26" t="n"/>
      <c r="C13" s="26" t="n"/>
      <c r="D13" s="26" t="n"/>
      <c r="E13" s="27" t="n"/>
      <c r="F13" s="25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6" t="n"/>
      <c r="P13" s="26" t="n"/>
      <c r="Q13" s="26" t="n"/>
      <c r="R13" s="27" t="n"/>
      <c r="S13" s="362" t="n"/>
      <c r="T13" s="26" t="n"/>
      <c r="U13" s="26" t="n"/>
      <c r="V13" s="26" t="n"/>
      <c r="W13" s="26" t="n"/>
      <c r="X13" s="27" t="n"/>
      <c r="Y13" s="25" t="n"/>
      <c r="Z13" s="26" t="n"/>
      <c r="AA13" s="26" t="n"/>
      <c r="AB13" s="26" t="n"/>
      <c r="AC13" s="26" t="n"/>
      <c r="AD13" s="27" t="n"/>
      <c r="AE13" s="362" t="n"/>
      <c r="AF13" s="26" t="n"/>
      <c r="AG13" s="26" t="n"/>
      <c r="AH13" s="26" t="n"/>
      <c r="AI13" s="26" t="n"/>
      <c r="AJ13" s="27" t="n"/>
      <c r="AK13" s="362" t="n"/>
      <c r="AL13" s="26" t="n"/>
      <c r="AM13" s="26" t="n"/>
      <c r="AN13" s="26" t="n"/>
      <c r="AO13" s="26" t="n"/>
      <c r="AP13" s="27" t="n"/>
      <c r="AQ13" s="362" t="n"/>
      <c r="AR13" s="26" t="n"/>
      <c r="AS13" s="26" t="n"/>
      <c r="AT13" s="26" t="n"/>
      <c r="AU13" s="26" t="n"/>
      <c r="AV13" s="27" t="n"/>
      <c r="AW13" s="345" t="n"/>
      <c r="AX13" s="26" t="n"/>
      <c r="AY13" s="26" t="n"/>
      <c r="AZ13" s="26" t="n"/>
      <c r="BA13" s="26" t="n"/>
      <c r="BB13" s="26" t="n"/>
      <c r="BC13" s="26" t="n"/>
      <c r="BD13" s="346" t="n"/>
    </row>
    <row r="14" ht="20" customHeight="1">
      <c r="A14" s="380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4" t="n"/>
      <c r="AX14" s="32" t="n"/>
      <c r="AY14" s="32" t="n"/>
      <c r="AZ14" s="32" t="n"/>
      <c r="BA14" s="32" t="n"/>
      <c r="BB14" s="32" t="n"/>
      <c r="BC14" s="32" t="n"/>
      <c r="BD14" s="350" t="n"/>
    </row>
    <row r="15" ht="20" customHeight="1">
      <c r="A15" s="380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9" t="n"/>
      <c r="AX15" s="32" t="n"/>
      <c r="AY15" s="32" t="n"/>
      <c r="AZ15" s="32" t="n"/>
      <c r="BA15" s="32" t="n"/>
      <c r="BB15" s="32" t="n"/>
      <c r="BC15" s="32" t="n"/>
      <c r="BD15" s="350" t="n"/>
    </row>
    <row r="16" ht="20" customHeight="1">
      <c r="A16" s="380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4" t="n"/>
      <c r="AX16" s="32" t="n"/>
      <c r="AY16" s="32" t="n"/>
      <c r="AZ16" s="32" t="n"/>
      <c r="BA16" s="32" t="n"/>
      <c r="BB16" s="32" t="n"/>
      <c r="BC16" s="32" t="n"/>
      <c r="BD16" s="350" t="n"/>
    </row>
    <row r="17" ht="20" customHeight="1">
      <c r="A17" s="380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9" t="n"/>
      <c r="AX17" s="32" t="n"/>
      <c r="AY17" s="32" t="n"/>
      <c r="AZ17" s="32" t="n"/>
      <c r="BA17" s="32" t="n"/>
      <c r="BB17" s="32" t="n"/>
      <c r="BC17" s="32" t="n"/>
      <c r="BD17" s="350" t="n"/>
    </row>
    <row r="18" ht="20" customHeight="1">
      <c r="A18" s="381" t="n"/>
      <c r="B18" s="353" t="n"/>
      <c r="C18" s="353" t="n"/>
      <c r="D18" s="353" t="n"/>
      <c r="E18" s="354" t="n"/>
      <c r="F18" s="382" t="n"/>
      <c r="G18" s="353" t="n"/>
      <c r="H18" s="353" t="n"/>
      <c r="I18" s="353" t="n"/>
      <c r="J18" s="354" t="n"/>
      <c r="K18" s="382" t="n"/>
      <c r="L18" s="353" t="n"/>
      <c r="M18" s="353" t="n"/>
      <c r="N18" s="353" t="n"/>
      <c r="O18" s="353" t="n"/>
      <c r="P18" s="353" t="n"/>
      <c r="Q18" s="353" t="n"/>
      <c r="R18" s="354" t="n"/>
      <c r="S18" s="383" t="n"/>
      <c r="T18" s="353" t="n"/>
      <c r="U18" s="353" t="n"/>
      <c r="V18" s="353" t="n"/>
      <c r="W18" s="353" t="n"/>
      <c r="X18" s="354" t="n"/>
      <c r="Y18" s="382" t="n"/>
      <c r="Z18" s="353" t="n"/>
      <c r="AA18" s="353" t="n"/>
      <c r="AB18" s="353" t="n"/>
      <c r="AC18" s="353" t="n"/>
      <c r="AD18" s="354" t="n"/>
      <c r="AE18" s="383" t="n"/>
      <c r="AF18" s="353" t="n"/>
      <c r="AG18" s="353" t="n"/>
      <c r="AH18" s="353" t="n"/>
      <c r="AI18" s="353" t="n"/>
      <c r="AJ18" s="354" t="n"/>
      <c r="AK18" s="383" t="n"/>
      <c r="AL18" s="353" t="n"/>
      <c r="AM18" s="353" t="n"/>
      <c r="AN18" s="353" t="n"/>
      <c r="AO18" s="353" t="n"/>
      <c r="AP18" s="354" t="n"/>
      <c r="AQ18" s="383" t="n"/>
      <c r="AR18" s="353" t="n"/>
      <c r="AS18" s="353" t="n"/>
      <c r="AT18" s="353" t="n"/>
      <c r="AU18" s="353" t="n"/>
      <c r="AV18" s="354" t="n"/>
      <c r="AW18" s="384" t="n"/>
      <c r="AX18" s="353" t="n"/>
      <c r="AY18" s="353" t="n"/>
      <c r="AZ18" s="353" t="n"/>
      <c r="BA18" s="353" t="n"/>
      <c r="BB18" s="353" t="n"/>
      <c r="BC18" s="353" t="n"/>
      <c r="BD18" s="357" t="n"/>
    </row>
    <row r="19" ht="26" customHeight="1">
      <c r="A19" s="318" t="inlineStr">
        <is>
          <t>NOTICE: Use one row per finding. Record objective evidence, severity, owner, due date and verification reference; avoid vague or conclusion-only wording.</t>
        </is>
      </c>
      <c r="B19" s="425" t="n"/>
      <c r="C19" s="425" t="n"/>
      <c r="D19" s="425" t="n"/>
      <c r="E19" s="425" t="n"/>
      <c r="F19" s="425" t="n"/>
      <c r="G19" s="425" t="n"/>
      <c r="H19" s="425" t="n"/>
      <c r="I19" s="425" t="n"/>
      <c r="J19" s="425" t="n"/>
      <c r="K19" s="425" t="n"/>
      <c r="L19" s="425" t="n"/>
      <c r="M19" s="425" t="n"/>
      <c r="N19" s="425" t="n"/>
      <c r="O19" s="425" t="n"/>
      <c r="P19" s="425" t="n"/>
      <c r="Q19" s="425" t="n"/>
      <c r="R19" s="425" t="n"/>
      <c r="S19" s="425" t="n"/>
      <c r="T19" s="425" t="n"/>
      <c r="U19" s="425" t="n"/>
      <c r="V19" s="425" t="n"/>
      <c r="W19" s="425" t="n"/>
      <c r="X19" s="425" t="n"/>
      <c r="Y19" s="425" t="n"/>
      <c r="Z19" s="425" t="n"/>
      <c r="AA19" s="425" t="n"/>
      <c r="AB19" s="425" t="n"/>
      <c r="AC19" s="425" t="n"/>
      <c r="AD19" s="425" t="n"/>
      <c r="AE19" s="425" t="n"/>
      <c r="AF19" s="425" t="n"/>
      <c r="AG19" s="425" t="n"/>
      <c r="AH19" s="425" t="n"/>
      <c r="AI19" s="425" t="n"/>
      <c r="AJ19" s="425" t="n"/>
      <c r="AK19" s="425" t="n"/>
      <c r="AL19" s="425" t="n"/>
      <c r="AM19" s="425" t="n"/>
      <c r="AN19" s="425" t="n"/>
      <c r="AO19" s="425" t="n"/>
      <c r="AP19" s="425" t="n"/>
      <c r="AQ19" s="425" t="n"/>
      <c r="AR19" s="425" t="n"/>
      <c r="AS19" s="425" t="n"/>
      <c r="AT19" s="425" t="n"/>
      <c r="AU19" s="425" t="n"/>
      <c r="AV19" s="425" t="n"/>
      <c r="AW19" s="425" t="n"/>
      <c r="AX19" s="425" t="n"/>
      <c r="AY19" s="425" t="n"/>
      <c r="AZ19" s="425" t="n"/>
      <c r="BA19" s="425" t="n"/>
      <c r="BB19" s="425" t="n"/>
      <c r="BC19" s="425" t="n"/>
      <c r="BD19" s="42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35" t="inlineStr">
        <is>
          <t>CONFIGURATION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86" t="inlineStr">
        <is>
          <t>Form Code</t>
        </is>
      </c>
      <c r="AR1" s="2" t="n"/>
      <c r="AS1" s="2" t="n"/>
      <c r="AT1" s="2" t="n"/>
      <c r="AU1" s="2" t="n"/>
      <c r="AV1" s="330" t="n"/>
      <c r="AW1" s="387" t="inlineStr">
        <is>
          <t>FRM-163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98" t="n"/>
      <c r="B2" s="399" t="n"/>
      <c r="C2" s="399" t="n"/>
      <c r="D2" s="399" t="n"/>
      <c r="E2" s="399" t="n"/>
      <c r="F2" s="399" t="n"/>
      <c r="G2" s="399" t="n"/>
      <c r="H2" s="399" t="n"/>
      <c r="I2" s="399" t="n"/>
      <c r="J2" s="399" t="n"/>
      <c r="K2" s="400" t="n"/>
      <c r="L2" s="399" t="n"/>
      <c r="M2" s="399" t="n"/>
      <c r="N2" s="399" t="n"/>
      <c r="O2" s="399" t="n"/>
      <c r="P2" s="399" t="n"/>
      <c r="Q2" s="399" t="n"/>
      <c r="R2" s="399" t="n"/>
      <c r="S2" s="399" t="n"/>
      <c r="T2" s="399" t="n"/>
      <c r="U2" s="399" t="n"/>
      <c r="V2" s="399" t="n"/>
      <c r="W2" s="399" t="n"/>
      <c r="X2" s="399" t="n"/>
      <c r="Y2" s="399" t="n"/>
      <c r="Z2" s="399" t="n"/>
      <c r="AA2" s="399" t="n"/>
      <c r="AB2" s="399" t="n"/>
      <c r="AC2" s="399" t="n"/>
      <c r="AD2" s="399" t="n"/>
      <c r="AE2" s="399" t="n"/>
      <c r="AF2" s="399" t="n"/>
      <c r="AG2" s="399" t="n"/>
      <c r="AH2" s="399" t="n"/>
      <c r="AI2" s="399" t="n"/>
      <c r="AJ2" s="399" t="n"/>
      <c r="AK2" s="399" t="n"/>
      <c r="AL2" s="399" t="n"/>
      <c r="AM2" s="399" t="n"/>
      <c r="AN2" s="399" t="n"/>
      <c r="AO2" s="399" t="n"/>
      <c r="AP2" s="400" t="n"/>
      <c r="AQ2" s="401" t="inlineStr">
        <is>
          <t>Revision</t>
        </is>
      </c>
      <c r="AR2" s="402" t="n"/>
      <c r="AS2" s="402" t="n"/>
      <c r="AT2" s="402" t="n"/>
      <c r="AU2" s="402" t="n"/>
      <c r="AV2" s="403" t="n"/>
      <c r="AW2" s="404" t="inlineStr">
        <is>
          <t>V0</t>
        </is>
      </c>
      <c r="AX2" s="405" t="n"/>
      <c r="AY2" s="405" t="n"/>
      <c r="AZ2" s="405" t="n"/>
      <c r="BA2" s="405" t="n"/>
      <c r="BB2" s="405" t="n"/>
      <c r="BC2" s="405" t="n"/>
      <c r="BD2" s="406" t="n"/>
    </row>
    <row r="3" ht="15" customHeight="1">
      <c r="A3" s="407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408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  <c r="Z3" s="55" t="n"/>
      <c r="AA3" s="55" t="n"/>
      <c r="AB3" s="55" t="n"/>
      <c r="AC3" s="55" t="n"/>
      <c r="AD3" s="55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408" t="n"/>
      <c r="AQ3" s="409" t="inlineStr">
        <is>
          <t>Eff. Date</t>
        </is>
      </c>
      <c r="AR3" s="410" t="n"/>
      <c r="AS3" s="410" t="n"/>
      <c r="AT3" s="410" t="n"/>
      <c r="AU3" s="410" t="n"/>
      <c r="AV3" s="411" t="n"/>
      <c r="AW3" s="300" t="inlineStr">
        <is>
          <t>YYYY-MM-DD</t>
        </is>
      </c>
      <c r="AX3" s="412" t="n"/>
      <c r="AY3" s="412" t="n"/>
      <c r="AZ3" s="412" t="n"/>
      <c r="BA3" s="412" t="n"/>
      <c r="BB3" s="412" t="n"/>
      <c r="BC3" s="412" t="n"/>
      <c r="BD3" s="413" t="n"/>
    </row>
    <row r="4" ht="15" customHeight="1">
      <c r="A4" s="407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408" t="n"/>
      <c r="L4" s="414" t="inlineStr">
        <is>
          <t>Quality Management System · Controlled Document</t>
        </is>
      </c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  <c r="Z4" s="55" t="n"/>
      <c r="AA4" s="55" t="n"/>
      <c r="AB4" s="55" t="n"/>
      <c r="AC4" s="55" t="n"/>
      <c r="AD4" s="55" t="n"/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408" t="n"/>
      <c r="AQ4" s="409" t="inlineStr">
        <is>
          <t>Owner</t>
        </is>
      </c>
      <c r="AR4" s="410" t="n"/>
      <c r="AS4" s="410" t="n"/>
      <c r="AT4" s="410" t="n"/>
      <c r="AU4" s="410" t="n"/>
      <c r="AV4" s="411" t="n"/>
      <c r="AW4" s="300" t="inlineStr">
        <is>
          <t>QMS</t>
        </is>
      </c>
      <c r="AX4" s="412" t="n"/>
      <c r="AY4" s="412" t="n"/>
      <c r="AZ4" s="412" t="n"/>
      <c r="BA4" s="412" t="n"/>
      <c r="BB4" s="412" t="n"/>
      <c r="BC4" s="412" t="n"/>
      <c r="BD4" s="413" t="n"/>
    </row>
    <row r="5" ht="15" customHeight="1">
      <c r="A5" s="407" t="n"/>
      <c r="B5" s="55" t="n"/>
      <c r="C5" s="55" t="n"/>
      <c r="D5" s="55" t="n"/>
      <c r="E5" s="55" t="n"/>
      <c r="F5" s="55" t="n"/>
      <c r="G5" s="55" t="n"/>
      <c r="H5" s="55" t="n"/>
      <c r="I5" s="55" t="n"/>
      <c r="J5" s="55" t="n"/>
      <c r="K5" s="408" t="n"/>
      <c r="L5" s="415" t="inlineStr">
        <is>
          <t>HESEM Engineering · ISO 9001 / AS9100 · Semiconductor Equipment Parts</t>
        </is>
      </c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  <c r="Z5" s="55" t="n"/>
      <c r="AA5" s="55" t="n"/>
      <c r="AB5" s="55" t="n"/>
      <c r="AC5" s="55" t="n"/>
      <c r="AD5" s="55" t="n"/>
      <c r="AE5" s="55" t="n"/>
      <c r="AF5" s="55" t="n"/>
      <c r="AG5" s="55" t="n"/>
      <c r="AH5" s="55" t="n"/>
      <c r="AI5" s="55" t="n"/>
      <c r="AJ5" s="55" t="n"/>
      <c r="AK5" s="55" t="n"/>
      <c r="AL5" s="55" t="n"/>
      <c r="AM5" s="55" t="n"/>
      <c r="AN5" s="55" t="n"/>
      <c r="AO5" s="55" t="n"/>
      <c r="AP5" s="408" t="n"/>
      <c r="AQ5" s="409" t="inlineStr">
        <is>
          <t>Approved</t>
        </is>
      </c>
      <c r="AR5" s="410" t="n"/>
      <c r="AS5" s="410" t="n"/>
      <c r="AT5" s="410" t="n"/>
      <c r="AU5" s="410" t="n"/>
      <c r="AV5" s="411" t="n"/>
      <c r="AW5" s="300" t="inlineStr">
        <is>
          <t>Per authority matrix</t>
        </is>
      </c>
      <c r="AX5" s="412" t="n"/>
      <c r="AY5" s="412" t="n"/>
      <c r="AZ5" s="412" t="n"/>
      <c r="BA5" s="412" t="n"/>
      <c r="BB5" s="412" t="n"/>
      <c r="BC5" s="412" t="n"/>
      <c r="BD5" s="413" t="n"/>
    </row>
    <row r="6" ht="15" customHeight="1">
      <c r="A6" s="416" t="n"/>
      <c r="B6" s="427" t="n"/>
      <c r="C6" s="427" t="n"/>
      <c r="D6" s="427" t="n"/>
      <c r="E6" s="427" t="n"/>
      <c r="F6" s="427" t="n"/>
      <c r="G6" s="427" t="n"/>
      <c r="H6" s="427" t="n"/>
      <c r="I6" s="427" t="n"/>
      <c r="J6" s="427" t="n"/>
      <c r="K6" s="428" t="n"/>
      <c r="L6" s="427" t="n"/>
      <c r="M6" s="427" t="n"/>
      <c r="N6" s="427" t="n"/>
      <c r="O6" s="427" t="n"/>
      <c r="P6" s="427" t="n"/>
      <c r="Q6" s="427" t="n"/>
      <c r="R6" s="427" t="n"/>
      <c r="S6" s="427" t="n"/>
      <c r="T6" s="427" t="n"/>
      <c r="U6" s="427" t="n"/>
      <c r="V6" s="427" t="n"/>
      <c r="W6" s="427" t="n"/>
      <c r="X6" s="427" t="n"/>
      <c r="Y6" s="427" t="n"/>
      <c r="Z6" s="427" t="n"/>
      <c r="AA6" s="427" t="n"/>
      <c r="AB6" s="427" t="n"/>
      <c r="AC6" s="427" t="n"/>
      <c r="AD6" s="427" t="n"/>
      <c r="AE6" s="427" t="n"/>
      <c r="AF6" s="427" t="n"/>
      <c r="AG6" s="427" t="n"/>
      <c r="AH6" s="427" t="n"/>
      <c r="AI6" s="427" t="n"/>
      <c r="AJ6" s="427" t="n"/>
      <c r="AK6" s="427" t="n"/>
      <c r="AL6" s="427" t="n"/>
      <c r="AM6" s="427" t="n"/>
      <c r="AN6" s="427" t="n"/>
      <c r="AO6" s="427" t="n"/>
      <c r="AP6" s="428" t="n"/>
      <c r="AQ6" s="429" t="n"/>
      <c r="AR6" s="429" t="n"/>
      <c r="AS6" s="429" t="n"/>
      <c r="AT6" s="429" t="n"/>
      <c r="AU6" s="429" t="n"/>
      <c r="AV6" s="430" t="n"/>
      <c r="AW6" s="431" t="n"/>
      <c r="AX6" s="431" t="n"/>
      <c r="AY6" s="431" t="n"/>
      <c r="AZ6" s="431" t="n"/>
      <c r="BA6" s="431" t="n"/>
      <c r="BB6" s="431" t="n"/>
      <c r="BC6" s="431" t="n"/>
      <c r="BD6" s="432" t="n"/>
    </row>
    <row r="7" ht="4" customHeight="1">
      <c r="A7" s="433" t="n"/>
      <c r="B7" s="424" t="n"/>
      <c r="C7" s="424" t="n"/>
      <c r="D7" s="424" t="n"/>
      <c r="E7" s="424" t="n"/>
      <c r="F7" s="424" t="n"/>
      <c r="G7" s="424" t="n"/>
      <c r="H7" s="424" t="n"/>
      <c r="I7" s="424" t="n"/>
      <c r="J7" s="424" t="n"/>
      <c r="K7" s="424" t="n"/>
      <c r="L7" s="424" t="n"/>
      <c r="M7" s="424" t="n"/>
      <c r="N7" s="424" t="n"/>
      <c r="O7" s="424" t="n"/>
      <c r="P7" s="424" t="n"/>
      <c r="Q7" s="424" t="n"/>
      <c r="R7" s="424" t="n"/>
      <c r="S7" s="424" t="n"/>
      <c r="T7" s="424" t="n"/>
      <c r="U7" s="424" t="n"/>
      <c r="V7" s="424" t="n"/>
      <c r="W7" s="424" t="n"/>
      <c r="X7" s="424" t="n"/>
      <c r="Y7" s="424" t="n"/>
      <c r="Z7" s="424" t="n"/>
      <c r="AA7" s="424" t="n"/>
      <c r="AB7" s="424" t="n"/>
      <c r="AC7" s="424" t="n"/>
      <c r="AD7" s="424" t="n"/>
      <c r="AE7" s="424" t="n"/>
      <c r="AF7" s="424" t="n"/>
      <c r="AG7" s="424" t="n"/>
      <c r="AH7" s="424" t="n"/>
      <c r="AI7" s="424" t="n"/>
      <c r="AJ7" s="424" t="n"/>
      <c r="AK7" s="424" t="n"/>
      <c r="AL7" s="424" t="n"/>
      <c r="AM7" s="424" t="n"/>
      <c r="AN7" s="424" t="n"/>
      <c r="AO7" s="424" t="n"/>
      <c r="AP7" s="424" t="n"/>
      <c r="AQ7" s="424" t="n"/>
      <c r="AR7" s="424" t="n"/>
      <c r="AS7" s="424" t="n"/>
      <c r="AT7" s="424" t="n"/>
      <c r="AU7" s="424" t="n"/>
      <c r="AV7" s="424" t="n"/>
      <c r="AW7" s="424" t="n"/>
      <c r="AX7" s="424" t="n"/>
      <c r="AY7" s="424" t="n"/>
      <c r="AZ7" s="424" t="n"/>
      <c r="BA7" s="424" t="n"/>
      <c r="BB7" s="424" t="n"/>
      <c r="BC7" s="424" t="n"/>
      <c r="BD7" s="424" t="n"/>
    </row>
    <row r="8" ht="26" customHeight="1">
      <c r="A8" s="318" t="inlineStr">
        <is>
          <t>NOTICE: Controlled dropdown source sheet. Do not edit values without formal document control because validations in the workbook depend on these lists.</t>
        </is>
      </c>
      <c r="B8" s="425" t="n"/>
      <c r="C8" s="425" t="n"/>
      <c r="D8" s="425" t="n"/>
      <c r="E8" s="425" t="n"/>
      <c r="F8" s="425" t="n"/>
      <c r="G8" s="425" t="n"/>
      <c r="H8" s="425" t="n"/>
      <c r="I8" s="425" t="n"/>
      <c r="J8" s="425" t="n"/>
      <c r="K8" s="425" t="n"/>
      <c r="L8" s="425" t="n"/>
      <c r="M8" s="425" t="n"/>
      <c r="N8" s="425" t="n"/>
      <c r="O8" s="425" t="n"/>
      <c r="P8" s="425" t="n"/>
      <c r="Q8" s="425" t="n"/>
      <c r="R8" s="425" t="n"/>
      <c r="S8" s="425" t="n"/>
      <c r="T8" s="425" t="n"/>
      <c r="U8" s="425" t="n"/>
      <c r="V8" s="425" t="n"/>
      <c r="W8" s="425" t="n"/>
      <c r="X8" s="425" t="n"/>
      <c r="Y8" s="425" t="n"/>
      <c r="Z8" s="425" t="n"/>
      <c r="AA8" s="425" t="n"/>
      <c r="AB8" s="425" t="n"/>
      <c r="AC8" s="425" t="n"/>
      <c r="AD8" s="425" t="n"/>
      <c r="AE8" s="425" t="n"/>
      <c r="AF8" s="425" t="n"/>
      <c r="AG8" s="425" t="n"/>
      <c r="AH8" s="425" t="n"/>
      <c r="AI8" s="425" t="n"/>
      <c r="AJ8" s="425" t="n"/>
      <c r="AK8" s="425" t="n"/>
      <c r="AL8" s="425" t="n"/>
      <c r="AM8" s="425" t="n"/>
      <c r="AN8" s="425" t="n"/>
      <c r="AO8" s="425" t="n"/>
      <c r="AP8" s="425" t="n"/>
      <c r="AQ8" s="425" t="n"/>
      <c r="AR8" s="425" t="n"/>
      <c r="AS8" s="425" t="n"/>
      <c r="AT8" s="425" t="n"/>
      <c r="AU8" s="425" t="n"/>
      <c r="AV8" s="425" t="n"/>
      <c r="AW8" s="425" t="n"/>
      <c r="AX8" s="425" t="n"/>
      <c r="AY8" s="425" t="n"/>
      <c r="AZ8" s="425" t="n"/>
      <c r="BA8" s="425" t="n"/>
      <c r="BB8" s="425" t="n"/>
      <c r="BC8" s="425" t="n"/>
      <c r="BD8" s="426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19" t="n"/>
      <c r="AI9" s="319" t="n"/>
      <c r="AJ9" s="319" t="n"/>
      <c r="AK9" s="319" t="n"/>
      <c r="AL9" s="319" t="n"/>
      <c r="AM9" s="319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0" t="n"/>
    </row>
    <row r="10" ht="20" customHeight="1">
      <c r="A10" s="321" t="inlineStr">
        <is>
          <t>CREATE</t>
        </is>
      </c>
      <c r="B10" s="298" t="inlineStr">
        <is>
          <t>PRESENT</t>
        </is>
      </c>
      <c r="C10" s="298" t="inlineStr">
        <is>
          <t>ALL HANDS</t>
        </is>
      </c>
      <c r="D10" s="298" t="inlineStr">
        <is>
          <t>MINOR</t>
        </is>
      </c>
      <c r="E10" s="298" t="inlineStr">
        <is>
          <t>REQUESTER</t>
        </is>
      </c>
      <c r="F10" s="298" t="inlineStr">
        <is>
          <t>NOT AUTHORIZED</t>
        </is>
      </c>
      <c r="G10" s="298" t="inlineStr">
        <is>
          <t>YES</t>
        </is>
      </c>
      <c r="H10" s="298" t="inlineStr">
        <is>
          <t>LOW</t>
        </is>
      </c>
      <c r="I10" s="298" t="inlineStr">
        <is>
          <t>DOCUMENT</t>
        </is>
      </c>
      <c r="J10" s="298" t="inlineStr">
        <is>
          <t>PO</t>
        </is>
      </c>
      <c r="K10" s="298" t="inlineStr">
        <is>
          <t>EMAIL</t>
        </is>
      </c>
      <c r="L10" s="298" t="inlineStr">
        <is>
          <t>NOT TRAINED</t>
        </is>
      </c>
      <c r="M10" s="298" t="inlineStr">
        <is>
          <t>SWOT</t>
        </is>
      </c>
      <c r="N10" s="298" t="inlineStr">
        <is>
          <t>VISUAL</t>
        </is>
      </c>
      <c r="O10" s="298" t="inlineStr">
        <is>
          <t>APPROVED</t>
        </is>
      </c>
      <c r="P10" s="298" t="inlineStr">
        <is>
          <t>SALES</t>
        </is>
      </c>
      <c r="Q10" s="298" t="inlineStr">
        <is>
          <t>DRAFT</t>
        </is>
      </c>
      <c r="R10" s="298" t="inlineStr">
        <is>
          <t>SOP</t>
        </is>
      </c>
      <c r="S10" s="298" t="inlineStr">
        <is>
          <t>1</t>
        </is>
      </c>
      <c r="T10" s="298" t="inlineStr">
        <is>
          <t>CONTRACT REVIEW</t>
        </is>
      </c>
      <c r="U10" s="298" t="inlineStr">
        <is>
          <t>NONE</t>
        </is>
      </c>
      <c r="V10" s="298" t="inlineStr">
        <is>
          <t>QUALITY</t>
        </is>
      </c>
      <c r="W10" s="298" t="inlineStr">
        <is>
          <t>KPI-QUALITY</t>
        </is>
      </c>
      <c r="X10" s="298" t="inlineStr">
        <is>
          <t>PREVENTION</t>
        </is>
      </c>
      <c r="Y10" s="298" t="inlineStr">
        <is>
          <t>STOP</t>
        </is>
      </c>
      <c r="Z10" s="298" t="inlineStr">
        <is>
          <t>CONTAINED</t>
        </is>
      </c>
      <c r="AA10" s="298" t="inlineStr">
        <is>
          <t>PASS</t>
        </is>
      </c>
      <c r="AB10" s="298" t="inlineStr">
        <is>
          <t>LOW</t>
        </is>
      </c>
      <c r="AC10" s="298" t="inlineStr">
        <is>
          <t>QUALITY</t>
        </is>
      </c>
      <c r="AD10" s="298" t="inlineStr">
        <is>
          <t>VIEWER</t>
        </is>
      </c>
      <c r="AE10" s="298" t="inlineStr">
        <is>
          <t>EACH LOT</t>
        </is>
      </c>
      <c r="AF10" s="298" t="inlineStr">
        <is>
          <t>OPEN</t>
        </is>
      </c>
      <c r="AG10" s="298" t="inlineStr">
        <is>
          <t>YES</t>
        </is>
      </c>
      <c r="AH10" s="319" t="n"/>
      <c r="AI10" s="319" t="n"/>
      <c r="AJ10" s="319" t="n"/>
      <c r="AK10" s="319" t="n"/>
      <c r="AL10" s="319" t="n"/>
      <c r="AM10" s="319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0" t="n"/>
    </row>
    <row r="11" ht="20" customHeight="1">
      <c r="A11" s="322" t="inlineStr">
        <is>
          <t>CHANGE</t>
        </is>
      </c>
      <c r="B11" s="300" t="inlineStr">
        <is>
          <t>LATE</t>
        </is>
      </c>
      <c r="C11" s="300" t="inlineStr">
        <is>
          <t>FUNCTION</t>
        </is>
      </c>
      <c r="D11" s="300" t="inlineStr">
        <is>
          <t>MAJOR</t>
        </is>
      </c>
      <c r="E11" s="300" t="inlineStr">
        <is>
          <t>OWNER</t>
        </is>
      </c>
      <c r="F11" s="300" t="inlineStr">
        <is>
          <t>AUTHORIZED</t>
        </is>
      </c>
      <c r="G11" s="300" t="inlineStr">
        <is>
          <t>NO</t>
        </is>
      </c>
      <c r="H11" s="300" t="inlineStr">
        <is>
          <t>MEDIUM</t>
        </is>
      </c>
      <c r="I11" s="300" t="inlineStr">
        <is>
          <t>PROCESS</t>
        </is>
      </c>
      <c r="J11" s="300" t="inlineStr">
        <is>
          <t>SO</t>
        </is>
      </c>
      <c r="K11" s="300" t="inlineStr">
        <is>
          <t>MEETING</t>
        </is>
      </c>
      <c r="L11" s="300" t="inlineStr">
        <is>
          <t>OBSERVED</t>
        </is>
      </c>
      <c r="M11" s="300" t="inlineStr">
        <is>
          <t>PESTLE</t>
        </is>
      </c>
      <c r="N11" s="300" t="inlineStr">
        <is>
          <t>DIMENSIONAL</t>
        </is>
      </c>
      <c r="O11" s="300" t="inlineStr">
        <is>
          <t>REJECTED</t>
        </is>
      </c>
      <c r="P11" s="300" t="inlineStr">
        <is>
          <t>ENG</t>
        </is>
      </c>
      <c r="Q11" s="300" t="inlineStr">
        <is>
          <t>EFFECTIVE</t>
        </is>
      </c>
      <c r="R11" s="300" t="inlineStr">
        <is>
          <t>WI</t>
        </is>
      </c>
      <c r="S11" s="300" t="inlineStr">
        <is>
          <t>2</t>
        </is>
      </c>
      <c r="T11" s="300" t="inlineStr">
        <is>
          <t>FIRST ARTICLE</t>
        </is>
      </c>
      <c r="U11" s="300" t="inlineStr">
        <is>
          <t>LOW</t>
        </is>
      </c>
      <c r="V11" s="300" t="inlineStr">
        <is>
          <t>DELIVERY</t>
        </is>
      </c>
      <c r="W11" s="300" t="inlineStr">
        <is>
          <t>KPI-DELIVERY</t>
        </is>
      </c>
      <c r="X11" s="300" t="inlineStr">
        <is>
          <t>DETECTION</t>
        </is>
      </c>
      <c r="Y11" s="300" t="inlineStr">
        <is>
          <t>SEGREGATE</t>
        </is>
      </c>
      <c r="Z11" s="300" t="inlineStr">
        <is>
          <t>RECOVERING</t>
        </is>
      </c>
      <c r="AA11" s="300" t="inlineStr">
        <is>
          <t>HOLD</t>
        </is>
      </c>
      <c r="AB11" s="300" t="inlineStr">
        <is>
          <t>MEDIUM</t>
        </is>
      </c>
      <c r="AC11" s="300" t="inlineStr">
        <is>
          <t>DELIVERY</t>
        </is>
      </c>
      <c r="AD11" s="300" t="inlineStr">
        <is>
          <t>CONTRIBUTOR</t>
        </is>
      </c>
      <c r="AE11" s="300" t="inlineStr">
        <is>
          <t>FIRST OFF</t>
        </is>
      </c>
      <c r="AF11" s="300" t="inlineStr">
        <is>
          <t>IN PROGRESS</t>
        </is>
      </c>
      <c r="AG11" s="300" t="inlineStr">
        <is>
          <t>NO</t>
        </is>
      </c>
      <c r="AH11" s="323" t="n"/>
      <c r="AI11" s="323" t="n"/>
      <c r="AJ11" s="323" t="n"/>
      <c r="AK11" s="323" t="n"/>
      <c r="AL11" s="323" t="n"/>
      <c r="AM11" s="323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4" t="n"/>
    </row>
    <row r="12" ht="20" customHeight="1">
      <c r="A12" s="322" t="inlineStr">
        <is>
          <t>REMOVE</t>
        </is>
      </c>
      <c r="B12" s="300" t="inlineStr">
        <is>
          <t>ABSENT</t>
        </is>
      </c>
      <c r="C12" s="300" t="inlineStr">
        <is>
          <t>ROLE</t>
        </is>
      </c>
      <c r="D12" s="300" t="inlineStr">
        <is>
          <t>CRITICAL</t>
        </is>
      </c>
      <c r="E12" s="300" t="inlineStr">
        <is>
          <t>REVIEWER</t>
        </is>
      </c>
      <c r="F12" s="300" t="inlineStr">
        <is>
          <t>EXPIRED</t>
        </is>
      </c>
      <c r="G12" s="300" t="n"/>
      <c r="H12" s="300" t="inlineStr">
        <is>
          <t>HIGH</t>
        </is>
      </c>
      <c r="I12" s="300" t="inlineStr">
        <is>
          <t>SYSTEM</t>
        </is>
      </c>
      <c r="J12" s="300" t="inlineStr">
        <is>
          <t>QUOTE</t>
        </is>
      </c>
      <c r="K12" s="300" t="inlineStr">
        <is>
          <t>PORTAL</t>
        </is>
      </c>
      <c r="L12" s="300" t="inlineStr">
        <is>
          <t>SUPERVISED</t>
        </is>
      </c>
      <c r="M12" s="300" t="inlineStr">
        <is>
          <t>CSR</t>
        </is>
      </c>
      <c r="N12" s="300" t="inlineStr">
        <is>
          <t>FIRST PIECE</t>
        </is>
      </c>
      <c r="O12" s="300" t="inlineStr">
        <is>
          <t>CONDITIONAL</t>
        </is>
      </c>
      <c r="P12" s="300" t="inlineStr">
        <is>
          <t>PLANNING</t>
        </is>
      </c>
      <c r="Q12" s="300" t="inlineStr">
        <is>
          <t>OBSOLETE</t>
        </is>
      </c>
      <c r="R12" s="300" t="inlineStr">
        <is>
          <t>ANNEX</t>
        </is>
      </c>
      <c r="S12" s="300" t="inlineStr">
        <is>
          <t>3</t>
        </is>
      </c>
      <c r="T12" s="300" t="inlineStr">
        <is>
          <t>IN-PROCESS</t>
        </is>
      </c>
      <c r="U12" s="300" t="inlineStr">
        <is>
          <t>MEDIUM</t>
        </is>
      </c>
      <c r="V12" s="300" t="inlineStr">
        <is>
          <t>COST</t>
        </is>
      </c>
      <c r="W12" s="300" t="inlineStr">
        <is>
          <t>KPI-SAFETY</t>
        </is>
      </c>
      <c r="X12" s="300" t="inlineStr">
        <is>
          <t>RESPONSE</t>
        </is>
      </c>
      <c r="Y12" s="300" t="inlineStr">
        <is>
          <t>ADJUST</t>
        </is>
      </c>
      <c r="Z12" s="300" t="inlineStr">
        <is>
          <t>RESTORED</t>
        </is>
      </c>
      <c r="AA12" s="300" t="inlineStr">
        <is>
          <t>FAIL</t>
        </is>
      </c>
      <c r="AB12" s="300" t="inlineStr">
        <is>
          <t>HIGH</t>
        </is>
      </c>
      <c r="AC12" s="300" t="inlineStr">
        <is>
          <t>COST</t>
        </is>
      </c>
      <c r="AD12" s="300" t="inlineStr">
        <is>
          <t>APPROVER</t>
        </is>
      </c>
      <c r="AE12" s="300" t="inlineStr">
        <is>
          <t>HOURLY</t>
        </is>
      </c>
      <c r="AF12" s="300" t="inlineStr">
        <is>
          <t>CLOSED</t>
        </is>
      </c>
      <c r="AG12" s="300" t="inlineStr">
        <is>
          <t>NA</t>
        </is>
      </c>
      <c r="AH12" s="323" t="n"/>
      <c r="AI12" s="323" t="n"/>
      <c r="AJ12" s="323" t="n"/>
      <c r="AK12" s="323" t="n"/>
      <c r="AL12" s="323" t="n"/>
      <c r="AM12" s="323" t="n"/>
      <c r="AN12" s="323" t="n"/>
      <c r="AO12" s="323" t="n"/>
      <c r="AP12" s="323" t="n"/>
      <c r="AQ12" s="323" t="n"/>
      <c r="AR12" s="323" t="n"/>
      <c r="AS12" s="323" t="n"/>
      <c r="AT12" s="323" t="n"/>
      <c r="AU12" s="323" t="n"/>
      <c r="AV12" s="323" t="n"/>
      <c r="AW12" s="323" t="n"/>
      <c r="AX12" s="323" t="n"/>
      <c r="AY12" s="323" t="n"/>
      <c r="AZ12" s="323" t="n"/>
      <c r="BA12" s="323" t="n"/>
      <c r="BB12" s="323" t="n"/>
      <c r="BC12" s="323" t="n"/>
      <c r="BD12" s="324" t="n"/>
    </row>
    <row r="13" ht="20" customHeight="1">
      <c r="A13" s="322" t="n"/>
      <c r="B13" s="300" t="inlineStr">
        <is>
          <t>EXCUSED</t>
        </is>
      </c>
      <c r="C13" s="300" t="inlineStr">
        <is>
          <t>SHIFT</t>
        </is>
      </c>
      <c r="D13" s="300" t="n"/>
      <c r="E13" s="300" t="inlineStr">
        <is>
          <t>APPROVER</t>
        </is>
      </c>
      <c r="F13" s="300" t="inlineStr">
        <is>
          <t>SUSPENDED</t>
        </is>
      </c>
      <c r="G13" s="300" t="n"/>
      <c r="H13" s="300" t="inlineStr">
        <is>
          <t>CRITICAL</t>
        </is>
      </c>
      <c r="I13" s="300" t="inlineStr">
        <is>
          <t>CONFIGURATION</t>
        </is>
      </c>
      <c r="J13" s="300" t="inlineStr">
        <is>
          <t>CSR</t>
        </is>
      </c>
      <c r="K13" s="300" t="inlineStr">
        <is>
          <t>NOTICE</t>
        </is>
      </c>
      <c r="L13" s="300" t="inlineStr">
        <is>
          <t>AUTHORIZED</t>
        </is>
      </c>
      <c r="M13" s="300" t="inlineStr">
        <is>
          <t>REGULATORY</t>
        </is>
      </c>
      <c r="N13" s="300" t="inlineStr">
        <is>
          <t>IN PROCESS</t>
        </is>
      </c>
      <c r="O13" s="300" t="inlineStr">
        <is>
          <t>ON HOLD</t>
        </is>
      </c>
      <c r="P13" s="300" t="inlineStr">
        <is>
          <t>PROD</t>
        </is>
      </c>
      <c r="Q13" s="300" t="inlineStr">
        <is>
          <t>SUPERSEDED</t>
        </is>
      </c>
      <c r="R13" s="300" t="inlineStr">
        <is>
          <t>FORM</t>
        </is>
      </c>
      <c r="S13" s="300" t="inlineStr">
        <is>
          <t>4</t>
        </is>
      </c>
      <c r="T13" s="300" t="inlineStr">
        <is>
          <t>FINAL</t>
        </is>
      </c>
      <c r="U13" s="300" t="inlineStr">
        <is>
          <t>HIGH</t>
        </is>
      </c>
      <c r="V13" s="300" t="inlineStr">
        <is>
          <t>SAFETY</t>
        </is>
      </c>
      <c r="W13" s="300" t="inlineStr">
        <is>
          <t>KPI-TRAINING</t>
        </is>
      </c>
      <c r="X13" s="300" t="inlineStr">
        <is>
          <t>SYSTEM</t>
        </is>
      </c>
      <c r="Y13" s="300" t="inlineStr">
        <is>
          <t>ESCALATE</t>
        </is>
      </c>
      <c r="Z13" s="300" t="inlineStr">
        <is>
          <t>ESCALATED</t>
        </is>
      </c>
      <c r="AA13" s="300" t="inlineStr">
        <is>
          <t>NA</t>
        </is>
      </c>
      <c r="AB13" s="300" t="inlineStr">
        <is>
          <t>CRITICAL</t>
        </is>
      </c>
      <c r="AC13" s="300" t="inlineStr">
        <is>
          <t>SAFETY</t>
        </is>
      </c>
      <c r="AD13" s="300" t="inlineStr">
        <is>
          <t>OWNER</t>
        </is>
      </c>
      <c r="AE13" s="300" t="inlineStr">
        <is>
          <t>SHIFT</t>
        </is>
      </c>
      <c r="AF13" s="300" t="inlineStr">
        <is>
          <t>MONITORING</t>
        </is>
      </c>
      <c r="AG13" s="300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4" t="n"/>
    </row>
    <row r="14" ht="20" customHeight="1">
      <c r="A14" s="322" t="n"/>
      <c r="B14" s="300" t="n"/>
      <c r="C14" s="300" t="inlineStr">
        <is>
          <t>MANAGEMENT</t>
        </is>
      </c>
      <c r="D14" s="300" t="n"/>
      <c r="E14" s="300" t="inlineStr">
        <is>
          <t>ADMIN</t>
        </is>
      </c>
      <c r="F14" s="300" t="n"/>
      <c r="G14" s="300" t="n"/>
      <c r="H14" s="300" t="n"/>
      <c r="I14" s="300" t="inlineStr">
        <is>
          <t>ACCESS</t>
        </is>
      </c>
      <c r="J14" s="300" t="inlineStr">
        <is>
          <t>CONTRACT</t>
        </is>
      </c>
      <c r="K14" s="300" t="inlineStr">
        <is>
          <t>TRAINING</t>
        </is>
      </c>
      <c r="L14" s="300" t="inlineStr">
        <is>
          <t>TRAINER</t>
        </is>
      </c>
      <c r="M14" s="300" t="inlineStr">
        <is>
          <t>INTERNAL</t>
        </is>
      </c>
      <c r="N14" s="300" t="inlineStr">
        <is>
          <t>FINAL</t>
        </is>
      </c>
      <c r="O14" s="300" t="n"/>
      <c r="P14" s="300" t="inlineStr">
        <is>
          <t>QA</t>
        </is>
      </c>
      <c r="Q14" s="300" t="inlineStr">
        <is>
          <t>ON HOLD</t>
        </is>
      </c>
      <c r="R14" s="300" t="inlineStr">
        <is>
          <t>POLICY</t>
        </is>
      </c>
      <c r="S14" s="300" t="inlineStr">
        <is>
          <t>5</t>
        </is>
      </c>
      <c r="T14" s="300" t="inlineStr">
        <is>
          <t>SHIPPING</t>
        </is>
      </c>
      <c r="U14" s="300" t="inlineStr">
        <is>
          <t>CRITICAL</t>
        </is>
      </c>
      <c r="V14" s="300" t="inlineStr">
        <is>
          <t>COMPLIANCE</t>
        </is>
      </c>
      <c r="W14" s="300" t="inlineStr">
        <is>
          <t>KPI-COST</t>
        </is>
      </c>
      <c r="X14" s="300" t="inlineStr">
        <is>
          <t>TRAINING</t>
        </is>
      </c>
      <c r="Y14" s="300" t="inlineStr">
        <is>
          <t>RECHECK</t>
        </is>
      </c>
      <c r="Z14" s="300" t="n"/>
      <c r="AA14" s="300" t="n"/>
      <c r="AB14" s="300" t="n"/>
      <c r="AC14" s="300" t="inlineStr">
        <is>
          <t>COMPLIANCE</t>
        </is>
      </c>
      <c r="AD14" s="300" t="inlineStr">
        <is>
          <t>ADMIN</t>
        </is>
      </c>
      <c r="AE14" s="300" t="inlineStr">
        <is>
          <t>DAILY</t>
        </is>
      </c>
      <c r="AF14" s="300" t="n"/>
      <c r="AG14" s="300" t="n"/>
      <c r="AH14" s="323" t="n"/>
      <c r="AI14" s="323" t="n"/>
      <c r="AJ14" s="323" t="n"/>
      <c r="AK14" s="323" t="n"/>
      <c r="AL14" s="323" t="n"/>
      <c r="AM14" s="323" t="n"/>
      <c r="AN14" s="323" t="n"/>
      <c r="AO14" s="323" t="n"/>
      <c r="AP14" s="323" t="n"/>
      <c r="AQ14" s="323" t="n"/>
      <c r="AR14" s="323" t="n"/>
      <c r="AS14" s="323" t="n"/>
      <c r="AT14" s="323" t="n"/>
      <c r="AU14" s="323" t="n"/>
      <c r="AV14" s="323" t="n"/>
      <c r="AW14" s="323" t="n"/>
      <c r="AX14" s="323" t="n"/>
      <c r="AY14" s="323" t="n"/>
      <c r="AZ14" s="323" t="n"/>
      <c r="BA14" s="323" t="n"/>
      <c r="BB14" s="323" t="n"/>
      <c r="BC14" s="323" t="n"/>
      <c r="BD14" s="324" t="n"/>
    </row>
    <row r="15" ht="20" customHeight="1">
      <c r="A15" s="322" t="n"/>
      <c r="B15" s="300" t="n"/>
      <c r="C15" s="300" t="inlineStr">
        <is>
          <t>CUSTOMER</t>
        </is>
      </c>
      <c r="D15" s="300" t="n"/>
      <c r="E15" s="300" t="n"/>
      <c r="F15" s="300" t="n"/>
      <c r="G15" s="300" t="n"/>
      <c r="H15" s="300" t="n"/>
      <c r="I15" s="300" t="inlineStr">
        <is>
          <t>TRAINING</t>
        </is>
      </c>
      <c r="J15" s="300" t="n"/>
      <c r="K15" s="300" t="inlineStr">
        <is>
          <t>ESCALATION</t>
        </is>
      </c>
      <c r="L15" s="300" t="n"/>
      <c r="M15" s="300" t="n"/>
      <c r="N15" s="300" t="inlineStr">
        <is>
          <t>FUNCTIONAL</t>
        </is>
      </c>
      <c r="O15" s="300" t="n"/>
      <c r="P15" s="300" t="inlineStr">
        <is>
          <t>PUR</t>
        </is>
      </c>
      <c r="Q15" s="300" t="n"/>
      <c r="R15" s="300" t="inlineStr">
        <is>
          <t>RECORD</t>
        </is>
      </c>
      <c r="S15" s="300" t="inlineStr">
        <is>
          <t>6</t>
        </is>
      </c>
      <c r="T15" s="300" t="n"/>
      <c r="U15" s="300" t="n"/>
      <c r="V15" s="300" t="inlineStr">
        <is>
          <t>SYSTEM</t>
        </is>
      </c>
      <c r="W15" s="300" t="n"/>
      <c r="X15" s="300" t="n"/>
      <c r="Y15" s="300" t="n"/>
      <c r="Z15" s="300" t="n"/>
      <c r="AA15" s="300" t="n"/>
      <c r="AB15" s="300" t="n"/>
      <c r="AC15" s="300" t="inlineStr">
        <is>
          <t>SYSTEM</t>
        </is>
      </c>
      <c r="AD15" s="300" t="n"/>
      <c r="AE15" s="300" t="inlineStr">
        <is>
          <t>WEEKLY</t>
        </is>
      </c>
      <c r="AF15" s="300" t="n"/>
      <c r="AG15" s="300" t="n"/>
      <c r="AH15" s="323" t="n"/>
      <c r="AI15" s="323" t="n"/>
      <c r="AJ15" s="323" t="n"/>
      <c r="AK15" s="323" t="n"/>
      <c r="AL15" s="323" t="n"/>
      <c r="AM15" s="323" t="n"/>
      <c r="AN15" s="323" t="n"/>
      <c r="AO15" s="323" t="n"/>
      <c r="AP15" s="323" t="n"/>
      <c r="AQ15" s="323" t="n"/>
      <c r="AR15" s="323" t="n"/>
      <c r="AS15" s="323" t="n"/>
      <c r="AT15" s="323" t="n"/>
      <c r="AU15" s="323" t="n"/>
      <c r="AV15" s="323" t="n"/>
      <c r="AW15" s="323" t="n"/>
      <c r="AX15" s="323" t="n"/>
      <c r="AY15" s="323" t="n"/>
      <c r="AZ15" s="323" t="n"/>
      <c r="BA15" s="323" t="n"/>
      <c r="BB15" s="323" t="n"/>
      <c r="BC15" s="323" t="n"/>
      <c r="BD15" s="324" t="n"/>
    </row>
    <row r="16" ht="20" customHeight="1">
      <c r="A16" s="322" t="n"/>
      <c r="B16" s="300" t="n"/>
      <c r="C16" s="300" t="n"/>
      <c r="D16" s="300" t="n"/>
      <c r="E16" s="300" t="n"/>
      <c r="F16" s="300" t="n"/>
      <c r="G16" s="300" t="n"/>
      <c r="H16" s="300" t="n"/>
      <c r="I16" s="300" t="n"/>
      <c r="J16" s="300" t="n"/>
      <c r="K16" s="300" t="n"/>
      <c r="L16" s="300" t="n"/>
      <c r="M16" s="300" t="n"/>
      <c r="N16" s="300" t="n"/>
      <c r="O16" s="300" t="n"/>
      <c r="P16" s="300" t="inlineStr">
        <is>
          <t>WHS</t>
        </is>
      </c>
      <c r="Q16" s="300" t="n"/>
      <c r="R16" s="300" t="n"/>
      <c r="S16" s="300" t="inlineStr">
        <is>
          <t>7</t>
        </is>
      </c>
      <c r="T16" s="300" t="n"/>
      <c r="U16" s="300" t="n"/>
      <c r="V16" s="300" t="inlineStr">
        <is>
          <t>CUSTOMER</t>
        </is>
      </c>
      <c r="W16" s="300" t="n"/>
      <c r="X16" s="300" t="n"/>
      <c r="Y16" s="300" t="n"/>
      <c r="Z16" s="300" t="n"/>
      <c r="AA16" s="300" t="n"/>
      <c r="AB16" s="300" t="n"/>
      <c r="AC16" s="300" t="inlineStr">
        <is>
          <t>PEOPLE</t>
        </is>
      </c>
      <c r="AD16" s="300" t="n"/>
      <c r="AE16" s="300" t="n"/>
      <c r="AF16" s="300" t="n"/>
      <c r="AG16" s="300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3" t="n"/>
      <c r="AR16" s="323" t="n"/>
      <c r="AS16" s="323" t="n"/>
      <c r="AT16" s="323" t="n"/>
      <c r="AU16" s="323" t="n"/>
      <c r="AV16" s="323" t="n"/>
      <c r="AW16" s="323" t="n"/>
      <c r="AX16" s="323" t="n"/>
      <c r="AY16" s="323" t="n"/>
      <c r="AZ16" s="323" t="n"/>
      <c r="BA16" s="323" t="n"/>
      <c r="BB16" s="323" t="n"/>
      <c r="BC16" s="323" t="n"/>
      <c r="BD16" s="324" t="n"/>
    </row>
    <row r="17" ht="20" customHeight="1">
      <c r="A17" s="322" t="n"/>
      <c r="B17" s="300" t="n"/>
      <c r="C17" s="300" t="n"/>
      <c r="D17" s="300" t="n"/>
      <c r="E17" s="300" t="n"/>
      <c r="F17" s="300" t="n"/>
      <c r="G17" s="300" t="n"/>
      <c r="H17" s="300" t="n"/>
      <c r="I17" s="300" t="n"/>
      <c r="J17" s="300" t="n"/>
      <c r="K17" s="300" t="n"/>
      <c r="L17" s="300" t="n"/>
      <c r="M17" s="300" t="n"/>
      <c r="N17" s="300" t="n"/>
      <c r="O17" s="300" t="n"/>
      <c r="P17" s="300" t="inlineStr">
        <is>
          <t>IT</t>
        </is>
      </c>
      <c r="Q17" s="300" t="n"/>
      <c r="R17" s="300" t="n"/>
      <c r="S17" s="300" t="inlineStr">
        <is>
          <t>8</t>
        </is>
      </c>
      <c r="T17" s="300" t="n"/>
      <c r="U17" s="300" t="n"/>
      <c r="V17" s="300" t="inlineStr">
        <is>
          <t>TRAINING</t>
        </is>
      </c>
      <c r="W17" s="300" t="n"/>
      <c r="X17" s="300" t="n"/>
      <c r="Y17" s="300" t="n"/>
      <c r="Z17" s="300" t="n"/>
      <c r="AA17" s="300" t="n"/>
      <c r="AB17" s="300" t="n"/>
      <c r="AC17" s="300" t="n"/>
      <c r="AD17" s="300" t="n"/>
      <c r="AE17" s="300" t="n"/>
      <c r="AF17" s="300" t="n"/>
      <c r="AG17" s="300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3" t="n"/>
      <c r="AR17" s="323" t="n"/>
      <c r="AS17" s="323" t="n"/>
      <c r="AT17" s="323" t="n"/>
      <c r="AU17" s="323" t="n"/>
      <c r="AV17" s="323" t="n"/>
      <c r="AW17" s="323" t="n"/>
      <c r="AX17" s="323" t="n"/>
      <c r="AY17" s="323" t="n"/>
      <c r="AZ17" s="323" t="n"/>
      <c r="BA17" s="323" t="n"/>
      <c r="BB17" s="323" t="n"/>
      <c r="BC17" s="323" t="n"/>
      <c r="BD17" s="324" t="n"/>
    </row>
    <row r="18" ht="20" customHeight="1">
      <c r="A18" s="322" t="n"/>
      <c r="B18" s="300" t="n"/>
      <c r="C18" s="300" t="n"/>
      <c r="D18" s="300" t="n"/>
      <c r="E18" s="300" t="n"/>
      <c r="F18" s="300" t="n"/>
      <c r="G18" s="300" t="n"/>
      <c r="H18" s="300" t="n"/>
      <c r="I18" s="300" t="n"/>
      <c r="J18" s="300" t="n"/>
      <c r="K18" s="300" t="n"/>
      <c r="L18" s="300" t="n"/>
      <c r="M18" s="300" t="n"/>
      <c r="N18" s="300" t="n"/>
      <c r="O18" s="300" t="n"/>
      <c r="P18" s="300" t="inlineStr">
        <is>
          <t>HR</t>
        </is>
      </c>
      <c r="Q18" s="300" t="n"/>
      <c r="R18" s="300" t="n"/>
      <c r="S18" s="300" t="inlineStr">
        <is>
          <t>9</t>
        </is>
      </c>
      <c r="T18" s="300" t="n"/>
      <c r="U18" s="300" t="n"/>
      <c r="V18" s="300" t="n"/>
      <c r="W18" s="300" t="n"/>
      <c r="X18" s="300" t="n"/>
      <c r="Y18" s="300" t="n"/>
      <c r="Z18" s="300" t="n"/>
      <c r="AA18" s="300" t="n"/>
      <c r="AB18" s="300" t="n"/>
      <c r="AC18" s="300" t="n"/>
      <c r="AD18" s="300" t="n"/>
      <c r="AE18" s="300" t="n"/>
      <c r="AF18" s="300" t="n"/>
      <c r="AG18" s="300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3" t="n"/>
      <c r="AR18" s="323" t="n"/>
      <c r="AS18" s="323" t="n"/>
      <c r="AT18" s="323" t="n"/>
      <c r="AU18" s="323" t="n"/>
      <c r="AV18" s="323" t="n"/>
      <c r="AW18" s="323" t="n"/>
      <c r="AX18" s="323" t="n"/>
      <c r="AY18" s="323" t="n"/>
      <c r="AZ18" s="323" t="n"/>
      <c r="BA18" s="323" t="n"/>
      <c r="BB18" s="323" t="n"/>
      <c r="BC18" s="323" t="n"/>
      <c r="BD18" s="324" t="n"/>
    </row>
    <row r="19" ht="20" customHeight="1">
      <c r="A19" s="325" t="n"/>
      <c r="B19" s="290" t="n"/>
      <c r="C19" s="290" t="n"/>
      <c r="D19" s="290" t="n"/>
      <c r="E19" s="290" t="n"/>
      <c r="F19" s="290" t="n"/>
      <c r="G19" s="290" t="n"/>
      <c r="H19" s="290" t="n"/>
      <c r="I19" s="290" t="n"/>
      <c r="J19" s="290" t="n"/>
      <c r="K19" s="290" t="n"/>
      <c r="L19" s="290" t="n"/>
      <c r="M19" s="290" t="n"/>
      <c r="N19" s="290" t="n"/>
      <c r="O19" s="290" t="n"/>
      <c r="P19" s="290" t="inlineStr">
        <is>
          <t>MGT</t>
        </is>
      </c>
      <c r="Q19" s="290" t="n"/>
      <c r="R19" s="290" t="n"/>
      <c r="S19" s="290" t="inlineStr">
        <is>
          <t>10</t>
        </is>
      </c>
      <c r="T19" s="290" t="n"/>
      <c r="U19" s="290" t="n"/>
      <c r="V19" s="290" t="n"/>
      <c r="W19" s="290" t="n"/>
      <c r="X19" s="290" t="n"/>
      <c r="Y19" s="290" t="n"/>
      <c r="Z19" s="290" t="n"/>
      <c r="AA19" s="290" t="n"/>
      <c r="AB19" s="290" t="n"/>
      <c r="AC19" s="290" t="n"/>
      <c r="AD19" s="290" t="n"/>
      <c r="AE19" s="290" t="n"/>
      <c r="AF19" s="290" t="n"/>
      <c r="AG19" s="290" t="n"/>
      <c r="AH19" s="326" t="n"/>
      <c r="AI19" s="326" t="n"/>
      <c r="AJ19" s="326" t="n"/>
      <c r="AK19" s="326" t="n"/>
      <c r="AL19" s="326" t="n"/>
      <c r="AM19" s="326" t="n"/>
      <c r="AN19" s="326" t="n"/>
      <c r="AO19" s="326" t="n"/>
      <c r="AP19" s="326" t="n"/>
      <c r="AQ19" s="326" t="n"/>
      <c r="AR19" s="326" t="n"/>
      <c r="AS19" s="326" t="n"/>
      <c r="AT19" s="326" t="n"/>
      <c r="AU19" s="326" t="n"/>
      <c r="AV19" s="326" t="n"/>
      <c r="AW19" s="326" t="n"/>
      <c r="AX19" s="326" t="n"/>
      <c r="AY19" s="326" t="n"/>
      <c r="AZ19" s="326" t="n"/>
      <c r="BA19" s="326" t="n"/>
      <c r="BB19" s="326" t="n"/>
      <c r="BC19" s="326" t="n"/>
      <c r="BD19" s="327" t="n"/>
    </row>
    <row r="20" ht="26" customHeight="1">
      <c r="A20" s="318" t="inlineStr">
        <is>
          <t>NOTICE: Controlled lookup lists only. Change values only through formal document control because dropdown behavior and validation depend on this sheet.</t>
        </is>
      </c>
      <c r="B20" s="425" t="n"/>
      <c r="C20" s="425" t="n"/>
      <c r="D20" s="425" t="n"/>
      <c r="E20" s="425" t="n"/>
      <c r="F20" s="425" t="n"/>
      <c r="G20" s="425" t="n"/>
      <c r="H20" s="425" t="n"/>
      <c r="I20" s="425" t="n"/>
      <c r="J20" s="425" t="n"/>
      <c r="K20" s="425" t="n"/>
      <c r="L20" s="425" t="n"/>
      <c r="M20" s="425" t="n"/>
      <c r="N20" s="425" t="n"/>
      <c r="O20" s="425" t="n"/>
      <c r="P20" s="425" t="n"/>
      <c r="Q20" s="425" t="n"/>
      <c r="R20" s="425" t="n"/>
      <c r="S20" s="425" t="n"/>
      <c r="T20" s="425" t="n"/>
      <c r="U20" s="425" t="n"/>
      <c r="V20" s="425" t="n"/>
      <c r="W20" s="425" t="n"/>
      <c r="X20" s="425" t="n"/>
      <c r="Y20" s="425" t="n"/>
      <c r="Z20" s="425" t="n"/>
      <c r="AA20" s="425" t="n"/>
      <c r="AB20" s="425" t="n"/>
      <c r="AC20" s="425" t="n"/>
      <c r="AD20" s="425" t="n"/>
      <c r="AE20" s="425" t="n"/>
      <c r="AF20" s="425" t="n"/>
      <c r="AG20" s="425" t="n"/>
      <c r="AH20" s="425" t="n"/>
      <c r="AI20" s="425" t="n"/>
      <c r="AJ20" s="425" t="n"/>
      <c r="AK20" s="425" t="n"/>
      <c r="AL20" s="425" t="n"/>
      <c r="AM20" s="425" t="n"/>
      <c r="AN20" s="425" t="n"/>
      <c r="AO20" s="425" t="n"/>
      <c r="AP20" s="425" t="n"/>
      <c r="AQ20" s="425" t="n"/>
      <c r="AR20" s="425" t="n"/>
      <c r="AS20" s="425" t="n"/>
      <c r="AT20" s="425" t="n"/>
      <c r="AU20" s="425" t="n"/>
      <c r="AV20" s="425" t="n"/>
      <c r="AW20" s="425" t="n"/>
      <c r="AX20" s="425" t="n"/>
      <c r="AY20" s="425" t="n"/>
      <c r="AZ20" s="425" t="n"/>
      <c r="BA20" s="425" t="n"/>
      <c r="BB20" s="425" t="n"/>
      <c r="BC20" s="425" t="n"/>
      <c r="BD20" s="426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2026-03-20T09:13:59Z</dcterms:created>
  <dcterms:modified xmlns:dcterms="http://purl.org/dc/terms/" xmlns:xsi="http://www.w3.org/2001/XMLSchema-instance" xsi:type="dcterms:W3CDTF">2026-03-22T08:40:19Z</dcterms:modified>
</cp:coreProperties>
</file>