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63_Gate" sheetId="1" state="visible" r:id="rId1"/>
    <sheet xmlns:r="http://schemas.openxmlformats.org/officeDocument/2006/relationships" name="FRM163_Findings" sheetId="2" state="visible" r:id="rId2"/>
    <sheet xmlns:r="http://schemas.openxmlformats.org/officeDocument/2006/relationships" name="FRM163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'FRM163_Gate'!$1:$13</definedName>
    <definedName name="_xlnm.Print_Area" localSheetId="0">'FRM163_Gate'!$A$1:$AN$33</definedName>
    <definedName name="_xlnm.Print_Titles" localSheetId="1">'FRM163_Findings'!$1:$12</definedName>
    <definedName name="_xlnm.Print_Area" localSheetId="1">'FRM163_Findings'!$A$1:$BD$19</definedName>
    <definedName name="_xlnm.Print_Titles" localSheetId="2">'FRM163_Evidence'!$1:$6</definedName>
    <definedName name="_xlnm.Print_Area" localSheetId="2">'FRM163_Evidence'!$A$1:$BD$18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3" fillId="0" borderId="0"/>
  </cellStyleXfs>
  <cellXfs count="39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3" fillId="2" borderId="36" pivotButton="0" quotePrefix="0" xfId="0"/>
    <xf numFmtId="0" fontId="13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3" fillId="0" borderId="39" pivotButton="0" quotePrefix="0" xfId="0"/>
    <xf numFmtId="0" fontId="13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3" fillId="0" borderId="41" pivotButton="0" quotePrefix="0" xfId="0"/>
    <xf numFmtId="0" fontId="13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3" fillId="0" borderId="43" pivotButton="0" quotePrefix="0" xfId="0"/>
    <xf numFmtId="0" fontId="13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3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3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4" fillId="0" borderId="39" applyAlignment="1" pivotButton="0" quotePrefix="0" xfId="0">
      <alignment horizontal="left" vertical="center" wrapText="1"/>
    </xf>
    <xf numFmtId="0" fontId="14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4" fillId="0" borderId="39" applyAlignment="1" applyProtection="1" pivotButton="0" quotePrefix="0" xfId="0">
      <alignment horizontal="left" vertical="center" wrapText="1"/>
      <protection locked="0" hidden="0"/>
    </xf>
    <xf numFmtId="0" fontId="14" fillId="0" borderId="40" applyAlignment="1" applyProtection="1" pivotButton="0" quotePrefix="0" xfId="0">
      <alignment horizontal="left" vertical="center" wrapText="1"/>
      <protection locked="0" hidden="0"/>
    </xf>
    <xf numFmtId="0" fontId="13" fillId="0" borderId="39" applyProtection="1" pivotButton="0" quotePrefix="0" xfId="0">
      <protection locked="0" hidden="0"/>
    </xf>
    <xf numFmtId="0" fontId="13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left" vertical="center" wrapText="1"/>
    </xf>
    <xf numFmtId="0" fontId="14" fillId="0" borderId="44" applyAlignment="1" pivotButton="0" quotePrefix="0" xfId="0">
      <alignment horizontal="left" vertical="center" wrapText="1"/>
    </xf>
    <xf numFmtId="0" fontId="10" fillId="3" borderId="44" applyAlignment="1" applyProtection="1" pivotButton="0" quotePrefix="0" xfId="0">
      <alignment horizontal="center" vertical="center" wrapText="1"/>
      <protection locked="0" hidden="0"/>
    </xf>
    <xf numFmtId="0" fontId="14" fillId="0" borderId="43" applyAlignment="1" applyProtection="1" pivotButton="0" quotePrefix="0" xfId="0">
      <alignment horizontal="left" vertical="center" wrapText="1"/>
      <protection locked="0" hidden="0"/>
    </xf>
    <xf numFmtId="0" fontId="14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0" applyAlignment="1" pivotButton="0" quotePrefix="0" xfId="0">
      <alignment horizontal="left" vertical="center" wrapText="1" indent="1"/>
    </xf>
    <xf numFmtId="0" fontId="5" fillId="3" borderId="42" applyAlignment="1" pivotButton="0" quotePrefix="0" xfId="0">
      <alignment horizontal="center" vertical="center"/>
    </xf>
    <xf numFmtId="0" fontId="11" fillId="2" borderId="42" applyAlignment="1" applyProtection="1" pivotButton="0" quotePrefix="0" xfId="0">
      <alignment horizontal="center"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13" fillId="0" borderId="46" applyProtection="1" pivotButton="0" quotePrefix="0" xfId="0">
      <protection locked="0" hidden="0"/>
    </xf>
    <xf numFmtId="0" fontId="14" fillId="0" borderId="41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46" applyAlignment="1" applyProtection="1" pivotButton="0" quotePrefix="0" xfId="0">
      <alignment horizontal="left" vertical="center" wrapText="1"/>
      <protection locked="0" hidden="0"/>
    </xf>
    <xf numFmtId="0" fontId="14" fillId="0" borderId="45" applyAlignment="1" applyProtection="1" pivotButton="0" quotePrefix="0" xfId="0">
      <alignment horizontal="left" vertical="center" wrapText="1"/>
      <protection locked="0" hidden="0"/>
    </xf>
    <xf numFmtId="0" fontId="12" fillId="4" borderId="38" applyAlignment="1" pivotButton="0" quotePrefix="0" xfId="0">
      <alignment horizontal="left" vertical="center" wrapText="1" indent="2"/>
    </xf>
    <xf numFmtId="0" fontId="14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47" pivotButton="0" quotePrefix="0" xfId="0"/>
    <xf numFmtId="0" fontId="13" fillId="0" borderId="49" pivotButton="0" quotePrefix="0" xfId="0"/>
    <xf numFmtId="0" fontId="13" fillId="0" borderId="50" pivotButton="0" quotePrefix="0" xfId="0"/>
    <xf numFmtId="0" fontId="13" fillId="0" borderId="54" pivotButton="0" quotePrefix="0" xfId="0"/>
    <xf numFmtId="0" fontId="13" fillId="0" borderId="52" pivotButton="0" quotePrefix="0" xfId="0"/>
    <xf numFmtId="0" fontId="13" fillId="0" borderId="53" pivotButton="0" quotePrefix="0" xfId="0"/>
    <xf numFmtId="0" fontId="13" fillId="0" borderId="55" pivotButton="0" quotePrefix="0" xfId="0"/>
    <xf numFmtId="0" fontId="14" fillId="0" borderId="49" applyAlignment="1" pivotButton="0" quotePrefix="0" xfId="0">
      <alignment horizontal="left" vertical="center" wrapText="1"/>
    </xf>
    <xf numFmtId="0" fontId="14" fillId="0" borderId="50" applyAlignment="1" pivotButton="0" quotePrefix="0" xfId="0">
      <alignment horizontal="left" vertical="center" wrapText="1"/>
    </xf>
    <xf numFmtId="0" fontId="14" fillId="0" borderId="49" applyAlignment="1" applyProtection="1" pivotButton="0" quotePrefix="0" xfId="0">
      <alignment horizontal="left" vertical="center" wrapText="1"/>
      <protection locked="0" hidden="0"/>
    </xf>
    <xf numFmtId="0" fontId="14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49" applyProtection="1" pivotButton="0" quotePrefix="0" xfId="0">
      <protection locked="0" hidden="0"/>
    </xf>
    <xf numFmtId="0" fontId="13" fillId="0" borderId="50" applyProtection="1" pivotButton="0" quotePrefix="0" xfId="0">
      <protection locked="0" hidden="0"/>
    </xf>
    <xf numFmtId="0" fontId="14" fillId="0" borderId="52" applyAlignment="1" pivotButton="0" quotePrefix="0" xfId="0">
      <alignment horizontal="left" vertical="center" wrapText="1"/>
    </xf>
    <xf numFmtId="0" fontId="14" fillId="0" borderId="53" applyAlignment="1" pivotButton="0" quotePrefix="0" xfId="0">
      <alignment horizontal="left" vertical="center" wrapText="1"/>
    </xf>
    <xf numFmtId="0" fontId="14" fillId="0" borderId="52" applyAlignment="1" applyProtection="1" pivotButton="0" quotePrefix="0" xfId="0">
      <alignment horizontal="left" vertical="center" wrapText="1"/>
      <protection locked="0" hidden="0"/>
    </xf>
    <xf numFmtId="0" fontId="14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1" applyProtection="1" pivotButton="0" quotePrefix="0" xfId="0">
      <protection locked="0" hidden="0"/>
    </xf>
    <xf numFmtId="0" fontId="14" fillId="0" borderId="54" applyAlignment="1" applyProtection="1" pivotButton="0" quotePrefix="0" xfId="0">
      <alignment horizontal="left" vertical="center" wrapText="1"/>
      <protection locked="0" hidden="0"/>
    </xf>
    <xf numFmtId="0" fontId="14" fillId="0" borderId="51" applyAlignment="1" applyProtection="1" pivotButton="0" quotePrefix="0" xfId="0">
      <alignment horizontal="left" vertical="center" wrapText="1"/>
      <protection locked="0" hidden="0"/>
    </xf>
    <xf numFmtId="0" fontId="14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3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5" fillId="2" borderId="56" applyAlignment="1" pivotButton="0" quotePrefix="0" xfId="0">
      <alignment horizontal="center" vertical="center" wrapText="1"/>
    </xf>
    <xf numFmtId="0" fontId="15" fillId="2" borderId="57" applyAlignment="1" pivotButton="0" quotePrefix="0" xfId="0">
      <alignment horizontal="center" vertical="center" wrapText="1"/>
    </xf>
    <xf numFmtId="0" fontId="15" fillId="2" borderId="58" applyAlignment="1" pivotButton="0" quotePrefix="0" xfId="0">
      <alignment horizontal="center" vertical="center" wrapText="1"/>
    </xf>
    <xf numFmtId="0" fontId="16" fillId="8" borderId="56" applyAlignment="1" pivotButton="0" quotePrefix="0" xfId="0">
      <alignment horizontal="right" vertical="center" wrapText="1"/>
    </xf>
    <xf numFmtId="0" fontId="16" fillId="8" borderId="57" applyAlignment="1" pivotButton="0" quotePrefix="0" xfId="0">
      <alignment horizontal="right" vertical="center" wrapText="1"/>
    </xf>
    <xf numFmtId="0" fontId="16" fillId="8" borderId="59" applyAlignment="1" pivotButton="0" quotePrefix="0" xfId="0">
      <alignment horizontal="right" vertical="center" wrapText="1"/>
    </xf>
    <xf numFmtId="0" fontId="17" fillId="2" borderId="60" applyAlignment="1" pivotButton="0" quotePrefix="0" xfId="0">
      <alignment horizontal="left" vertical="center" wrapText="1"/>
    </xf>
    <xf numFmtId="0" fontId="17" fillId="2" borderId="57" applyAlignment="1" pivotButton="0" quotePrefix="0" xfId="0">
      <alignment horizontal="left" vertical="center" wrapText="1"/>
    </xf>
    <xf numFmtId="0" fontId="17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5" fillId="2" borderId="61" applyAlignment="1" pivotButton="0" quotePrefix="0" xfId="0">
      <alignment horizontal="center" vertical="center" wrapText="1"/>
    </xf>
    <xf numFmtId="0" fontId="15" fillId="2" borderId="19" applyAlignment="1" pivotButton="0" quotePrefix="0" xfId="0">
      <alignment horizontal="center" vertical="center" wrapText="1"/>
    </xf>
    <xf numFmtId="0" fontId="15" fillId="2" borderId="62" applyAlignment="1" pivotButton="0" quotePrefix="0" xfId="0">
      <alignment horizontal="center" vertical="center" wrapText="1"/>
    </xf>
    <xf numFmtId="0" fontId="16" fillId="8" borderId="63" applyAlignment="1" pivotButton="0" quotePrefix="0" xfId="0">
      <alignment horizontal="right" vertical="center" wrapText="1"/>
    </xf>
    <xf numFmtId="0" fontId="16" fillId="8" borderId="37" applyAlignment="1" pivotButton="0" quotePrefix="0" xfId="0">
      <alignment horizontal="right" vertical="center" wrapText="1"/>
    </xf>
    <xf numFmtId="0" fontId="16" fillId="8" borderId="64" applyAlignment="1" pivotButton="0" quotePrefix="0" xfId="0">
      <alignment horizontal="right" vertical="center" wrapText="1"/>
    </xf>
    <xf numFmtId="0" fontId="17" fillId="2" borderId="65" applyAlignment="1" pivotButton="0" quotePrefix="0" xfId="0">
      <alignment horizontal="left" vertical="center" wrapText="1"/>
    </xf>
    <xf numFmtId="0" fontId="17" fillId="2" borderId="37" applyAlignment="1" pivotButton="0" quotePrefix="0" xfId="0">
      <alignment horizontal="left" vertical="center" wrapText="1"/>
    </xf>
    <xf numFmtId="0" fontId="17" fillId="2" borderId="66" applyAlignment="1" pivotButton="0" quotePrefix="0" xfId="0">
      <alignment horizontal="left" vertical="center" wrapText="1"/>
    </xf>
    <xf numFmtId="0" fontId="18" fillId="2" borderId="61" applyAlignment="1" pivotButton="0" quotePrefix="0" xfId="0">
      <alignment horizontal="center" vertical="center"/>
    </xf>
    <xf numFmtId="0" fontId="18" fillId="2" borderId="19" applyAlignment="1" pivotButton="0" quotePrefix="0" xfId="0">
      <alignment horizontal="center" vertical="center"/>
    </xf>
    <xf numFmtId="0" fontId="18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9" fillId="2" borderId="67" applyAlignment="1" pivotButton="0" quotePrefix="0" xfId="0">
      <alignment horizontal="center" vertical="center"/>
    </xf>
    <xf numFmtId="0" fontId="19" fillId="2" borderId="68" applyAlignment="1" pivotButton="0" quotePrefix="0" xfId="0">
      <alignment horizontal="center" vertical="center"/>
    </xf>
    <xf numFmtId="0" fontId="19" fillId="2" borderId="69" applyAlignment="1" pivotButton="0" quotePrefix="0" xfId="0">
      <alignment horizontal="center" vertical="center"/>
    </xf>
    <xf numFmtId="0" fontId="16" fillId="8" borderId="70" applyAlignment="1" pivotButton="0" quotePrefix="0" xfId="0">
      <alignment horizontal="right" vertical="center" wrapText="1"/>
    </xf>
    <xf numFmtId="0" fontId="16" fillId="8" borderId="71" applyAlignment="1" pivotButton="0" quotePrefix="0" xfId="0">
      <alignment horizontal="right" vertical="center" wrapText="1"/>
    </xf>
    <xf numFmtId="0" fontId="16" fillId="8" borderId="72" applyAlignment="1" pivotButton="0" quotePrefix="0" xfId="0">
      <alignment horizontal="right" vertical="center" wrapText="1"/>
    </xf>
    <xf numFmtId="0" fontId="17" fillId="2" borderId="73" applyAlignment="1" pivotButton="0" quotePrefix="0" xfId="0">
      <alignment horizontal="left" vertical="center" wrapText="1"/>
    </xf>
    <xf numFmtId="0" fontId="17" fillId="2" borderId="71" applyAlignment="1" pivotButton="0" quotePrefix="0" xfId="0">
      <alignment horizontal="left" vertical="center" wrapText="1"/>
    </xf>
    <xf numFmtId="0" fontId="17" fillId="2" borderId="74" applyAlignment="1" pivotButton="0" quotePrefix="0" xfId="0">
      <alignment horizontal="left" vertical="center" wrapText="1"/>
    </xf>
    <xf numFmtId="0" fontId="13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6" fillId="10" borderId="78" applyAlignment="1" pivotButton="0" quotePrefix="0" xfId="0">
      <alignment horizontal="left" vertical="center" wrapText="1" indent="1"/>
    </xf>
    <xf numFmtId="0" fontId="13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3" fillId="0" borderId="79" applyProtection="1" pivotButton="0" quotePrefix="0" xfId="0">
      <protection locked="0" hidden="0"/>
    </xf>
    <xf numFmtId="0" fontId="16" fillId="10" borderId="80" applyAlignment="1" pivotButton="0" quotePrefix="0" xfId="0">
      <alignment horizontal="left" vertical="center" wrapText="1" indent="1"/>
    </xf>
    <xf numFmtId="0" fontId="13" fillId="0" borderId="81" applyProtection="1" pivotButton="0" quotePrefix="0" xfId="0">
      <protection locked="0" hidden="0"/>
    </xf>
    <xf numFmtId="0" fontId="16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6" fillId="10" borderId="36" applyAlignment="1" pivotButton="0" quotePrefix="0" xfId="0">
      <alignment horizontal="left" vertical="center" wrapText="1" indent="1"/>
    </xf>
    <xf numFmtId="0" fontId="13" fillId="0" borderId="83" applyProtection="1" pivotButton="0" quotePrefix="0" xfId="0">
      <protection locked="0" hidden="0"/>
    </xf>
    <xf numFmtId="0" fontId="16" fillId="10" borderId="70" applyAlignment="1" pivotButton="0" quotePrefix="0" xfId="0">
      <alignment horizontal="left" vertical="center" wrapText="1" indent="1"/>
    </xf>
    <xf numFmtId="0" fontId="13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3" fillId="0" borderId="71" applyProtection="1" pivotButton="0" quotePrefix="0" xfId="0">
      <protection locked="0" hidden="0"/>
    </xf>
    <xf numFmtId="0" fontId="16" fillId="10" borderId="73" applyAlignment="1" pivotButton="0" quotePrefix="0" xfId="0">
      <alignment horizontal="left" vertical="center" wrapText="1" indent="1"/>
    </xf>
    <xf numFmtId="0" fontId="13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6" fillId="10" borderId="78" applyAlignment="1" pivotButton="0" quotePrefix="0" xfId="0">
      <alignment horizontal="center" vertical="center" wrapText="1"/>
    </xf>
    <xf numFmtId="0" fontId="10" fillId="10" borderId="80" applyAlignment="1" applyProtection="1" pivotButton="0" quotePrefix="0" xfId="0">
      <alignment horizontal="center" vertical="center" wrapText="1"/>
      <protection locked="0" hidden="0"/>
    </xf>
    <xf numFmtId="0" fontId="13" fillId="0" borderId="80" applyProtection="1" pivotButton="0" quotePrefix="0" xfId="0">
      <protection locked="0" hidden="0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6" fillId="10" borderId="82" applyAlignment="1" pivotButton="0" quotePrefix="0" xfId="0">
      <alignment horizontal="center" vertical="center" wrapText="1"/>
    </xf>
    <xf numFmtId="0" fontId="10" fillId="10" borderId="36" applyAlignment="1" applyProtection="1" pivotButton="0" quotePrefix="0" xfId="0">
      <alignment horizontal="center" vertical="center" wrapText="1"/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13" fillId="0" borderId="36" applyProtection="1" pivotButton="0" quotePrefix="0" xfId="0"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7" fillId="2" borderId="73" applyAlignment="1" pivotButton="0" quotePrefix="0" xfId="0">
      <alignment horizontal="left" vertical="center" wrapText="1" indent="1"/>
    </xf>
    <xf numFmtId="0" fontId="13" fillId="0" borderId="73" pivotButton="0" quotePrefix="0" xfId="0"/>
    <xf numFmtId="0" fontId="13" fillId="0" borderId="74" pivotButton="0" quotePrefix="0" xfId="0"/>
    <xf numFmtId="0" fontId="13" fillId="0" borderId="80" pivotButton="0" quotePrefix="0" xfId="0"/>
    <xf numFmtId="0" fontId="13" fillId="0" borderId="36" pivotButton="0" quotePrefix="0" xfId="0"/>
    <xf numFmtId="0" fontId="16" fillId="10" borderId="82" applyAlignment="1" pivotButton="0" quotePrefix="0" xfId="0">
      <alignment horizontal="center" vertical="center"/>
    </xf>
    <xf numFmtId="0" fontId="16" fillId="10" borderId="36" applyAlignment="1" pivotButton="0" quotePrefix="0" xfId="0">
      <alignment horizontal="center" vertical="center"/>
    </xf>
    <xf numFmtId="0" fontId="13" fillId="0" borderId="83" pivotButton="0" quotePrefix="0" xfId="0"/>
    <xf numFmtId="0" fontId="11" fillId="2" borderId="82" applyAlignment="1" applyProtection="1" pivotButton="0" quotePrefix="0" xfId="0">
      <alignment horizontal="center" vertical="center" wrapText="1"/>
      <protection locked="0" hidden="0"/>
    </xf>
    <xf numFmtId="0" fontId="11" fillId="2" borderId="36" applyAlignment="1" applyProtection="1" pivotButton="0" quotePrefix="0" xfId="0">
      <alignment horizontal="center" vertical="center" wrapText="1"/>
      <protection locked="0" hidden="0"/>
    </xf>
    <xf numFmtId="0" fontId="13" fillId="0" borderId="82" applyProtection="1" pivotButton="0" quotePrefix="0" xfId="0">
      <protection locked="0" hidden="0"/>
    </xf>
    <xf numFmtId="0" fontId="13" fillId="0" borderId="70" applyProtection="1" pivotButton="0" quotePrefix="0" xfId="0">
      <protection locked="0" hidden="0"/>
    </xf>
    <xf numFmtId="0" fontId="13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3" fillId="0" borderId="81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" fillId="2" borderId="73" applyAlignment="1" pivotButton="0" quotePrefix="0" xfId="0">
      <alignment horizontal="left" vertical="center"/>
    </xf>
    <xf numFmtId="0" fontId="16" fillId="10" borderId="78" applyAlignment="1" applyProtection="1" pivotButton="0" quotePrefix="0" xfId="0">
      <alignment horizontal="center" vertical="center" wrapText="1"/>
      <protection locked="0" hidden="0"/>
    </xf>
    <xf numFmtId="0" fontId="16" fillId="10" borderId="82" applyAlignment="1" applyProtection="1" pivotButton="0" quotePrefix="0" xfId="0">
      <alignment horizontal="center" vertical="center" wrapText="1"/>
      <protection locked="0" hidden="0"/>
    </xf>
    <xf numFmtId="0" fontId="16" fillId="10" borderId="70" applyAlignment="1" applyProtection="1" pivotButton="0" quotePrefix="0" xfId="0">
      <alignment horizontal="center" vertical="center" wrapText="1"/>
      <protection locked="0" hidden="0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6" fillId="10" borderId="70" applyAlignment="1" pivotButton="0" quotePrefix="0" xfId="0">
      <alignment horizontal="center" vertical="center" wrapText="1"/>
    </xf>
    <xf numFmtId="0" fontId="13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20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7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7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8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7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3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10" fillId="3" borderId="133" applyAlignment="1" applyProtection="1" pivotButton="0" quotePrefix="0" xfId="0">
      <alignment horizontal="center" vertical="center" wrapText="1"/>
      <protection locked="0" hidden="0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10" fillId="3" borderId="134" applyAlignment="1" applyProtection="1" pivotButton="0" quotePrefix="0" xfId="0">
      <alignment horizontal="center" vertical="center" wrapText="1"/>
      <protection locked="0" hidden="0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7" fillId="2" borderId="126" applyAlignment="1" pivotButton="0" quotePrefix="0" xfId="0">
      <alignment horizontal="left" vertical="center" wrapText="1" indent="1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1" fillId="2" borderId="12" applyAlignment="1" applyProtection="1" pivotButton="0" quotePrefix="0" xfId="0">
      <alignment horizontal="center" vertical="center" wrapText="1"/>
      <protection locked="0" hidden="0"/>
    </xf>
    <xf numFmtId="0" fontId="11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1" fillId="2" borderId="126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3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2" fillId="4" borderId="27" applyAlignment="1" pivotButton="0" quotePrefix="0" xfId="0">
      <alignment horizontal="left" vertical="center" wrapText="1" indent="2"/>
    </xf>
    <xf numFmtId="0" fontId="14" fillId="0" borderId="133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4" fillId="0" borderId="134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4" fillId="0" borderId="126" applyAlignment="1" pivotButton="0" quotePrefix="0" xfId="0">
      <alignment horizontal="left" vertical="center" wrapText="1"/>
    </xf>
    <xf numFmtId="0" fontId="14" fillId="0" borderId="34" applyAlignment="1" pivotButton="0" quotePrefix="0" xfId="0">
      <alignment horizontal="left" vertical="center" wrapText="1"/>
    </xf>
    <xf numFmtId="0" fontId="13" fillId="2" borderId="1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14" pivotButton="0" quotePrefix="0" xfId="0"/>
    <xf numFmtId="0" fontId="17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7" fillId="2" borderId="125" applyAlignment="1" pivotButton="0" quotePrefix="0" xfId="0">
      <alignment horizontal="left" vertical="center" wrapText="1"/>
    </xf>
    <xf numFmtId="0" fontId="0" fillId="0" borderId="142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7" fillId="2" borderId="130" applyAlignment="1" pivotButton="0" quotePrefix="0" xfId="0">
      <alignment horizontal="left" vertical="center" wrapText="1"/>
    </xf>
    <xf numFmtId="0" fontId="0" fillId="0" borderId="143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10" fillId="3" borderId="22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pivotButton="0" quotePrefix="0" xfId="0">
      <alignment horizontal="left" vertical="center" wrapText="1" indent="1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1" fillId="2" borderId="26" applyAlignment="1" applyProtection="1" pivotButton="0" quotePrefix="0" xfId="0">
      <alignment horizontal="center" vertical="center" wrapText="1"/>
      <protection locked="0" hidden="0"/>
    </xf>
    <xf numFmtId="0" fontId="11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5" fillId="3" borderId="144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28" t="n"/>
      <c r="B1" s="2" t="n"/>
      <c r="C1" s="2" t="n"/>
      <c r="D1" s="2" t="n"/>
      <c r="E1" s="2" t="n"/>
      <c r="F1" s="2" t="n"/>
      <c r="G1" s="2" t="n"/>
      <c r="H1" s="3" t="n"/>
      <c r="I1" s="232" t="inlineStr">
        <is>
          <t>CONFIGURATION AUDIT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29" t="inlineStr">
        <is>
          <t>Form Code</t>
        </is>
      </c>
      <c r="AF1" s="2" t="n"/>
      <c r="AG1" s="2" t="n"/>
      <c r="AH1" s="330" t="n"/>
      <c r="AI1" s="331" t="inlineStr">
        <is>
          <t>FRM-163</t>
        </is>
      </c>
      <c r="AJ1" s="2" t="n"/>
      <c r="AK1" s="2" t="n"/>
      <c r="AL1" s="2" t="n"/>
      <c r="AM1" s="2" t="n"/>
      <c r="AN1" s="3" t="n"/>
    </row>
    <row r="2" ht="15" customHeight="1">
      <c r="A2" s="10" t="n"/>
      <c r="H2" s="11" t="n"/>
      <c r="I2" s="10" t="n"/>
      <c r="AE2" s="332" t="inlineStr">
        <is>
          <t>Revision</t>
        </is>
      </c>
      <c r="AF2" s="333" t="n"/>
      <c r="AG2" s="333" t="n"/>
      <c r="AH2" s="334" t="n"/>
      <c r="AI2" s="335" t="inlineStr">
        <is>
          <t>V0</t>
        </is>
      </c>
      <c r="AJ2" s="333" t="n"/>
      <c r="AK2" s="333" t="n"/>
      <c r="AL2" s="333" t="n"/>
      <c r="AM2" s="333" t="n"/>
      <c r="AN2" s="336" t="n"/>
    </row>
    <row r="3" ht="15" customHeight="1">
      <c r="A3" s="10" t="n"/>
      <c r="H3" s="11" t="n"/>
      <c r="I3" s="10" t="n"/>
      <c r="AE3" s="332" t="inlineStr">
        <is>
          <t>Eff. Date</t>
        </is>
      </c>
      <c r="AF3" s="333" t="n"/>
      <c r="AG3" s="333" t="n"/>
      <c r="AH3" s="334" t="n"/>
      <c r="AI3" s="335" t="inlineStr">
        <is>
          <t>YYYY-MM-DD</t>
        </is>
      </c>
      <c r="AJ3" s="333" t="n"/>
      <c r="AK3" s="333" t="n"/>
      <c r="AL3" s="333" t="n"/>
      <c r="AM3" s="333" t="n"/>
      <c r="AN3" s="336" t="n"/>
    </row>
    <row r="4" ht="15" customHeight="1">
      <c r="A4" s="10" t="n"/>
      <c r="H4" s="11" t="n"/>
      <c r="I4" s="244" t="inlineStr">
        <is>
          <t>Quality Management System · Controlled Document</t>
        </is>
      </c>
      <c r="AE4" s="332" t="inlineStr">
        <is>
          <t>Owner</t>
        </is>
      </c>
      <c r="AF4" s="333" t="n"/>
      <c r="AG4" s="333" t="n"/>
      <c r="AH4" s="334" t="n"/>
      <c r="AI4" s="335" t="inlineStr">
        <is>
          <t>QMS</t>
        </is>
      </c>
      <c r="AJ4" s="333" t="n"/>
      <c r="AK4" s="333" t="n"/>
      <c r="AL4" s="333" t="n"/>
      <c r="AM4" s="333" t="n"/>
      <c r="AN4" s="33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8" t="n"/>
      <c r="I5" s="51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337" t="inlineStr">
        <is>
          <t>Approved</t>
        </is>
      </c>
      <c r="AF5" s="338" t="n"/>
      <c r="AG5" s="338" t="n"/>
      <c r="AH5" s="339" t="n"/>
      <c r="AI5" s="340" t="inlineStr">
        <is>
          <t>Per authority matrix</t>
        </is>
      </c>
      <c r="AJ5" s="338" t="n"/>
      <c r="AK5" s="338" t="n"/>
      <c r="AL5" s="338" t="n"/>
      <c r="AM5" s="338" t="n"/>
      <c r="AN5" s="341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</row>
    <row r="7" ht="18" customHeight="1">
      <c r="A7" s="342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343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344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34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46" t="n"/>
    </row>
    <row r="9" ht="20" customHeight="1">
      <c r="A9" s="347" t="inlineStr">
        <is>
          <t>Department / Owner</t>
        </is>
      </c>
      <c r="B9" s="14" t="n"/>
      <c r="C9" s="14" t="n"/>
      <c r="D9" s="14" t="n"/>
      <c r="E9" s="14" t="n"/>
      <c r="F9" s="14" t="n"/>
      <c r="G9" s="30" t="n"/>
      <c r="H9" s="34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3" t="n"/>
      <c r="U9" s="348" t="inlineStr">
        <is>
          <t>Prepared By</t>
        </is>
      </c>
      <c r="V9" s="14" t="n"/>
      <c r="W9" s="14" t="n"/>
      <c r="X9" s="14" t="n"/>
      <c r="Y9" s="14" t="n"/>
      <c r="Z9" s="14" t="n"/>
      <c r="AA9" s="30" t="n"/>
      <c r="AB9" s="349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50" t="n"/>
    </row>
    <row r="10" ht="26" customHeight="1">
      <c r="A10" s="347" t="inlineStr">
        <is>
          <t>Prepared Date</t>
        </is>
      </c>
      <c r="B10" s="14" t="n"/>
      <c r="C10" s="14" t="n"/>
      <c r="D10" s="14" t="n"/>
      <c r="E10" s="14" t="n"/>
      <c r="F10" s="14" t="n"/>
      <c r="G10" s="30" t="n"/>
      <c r="H10" s="34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3" t="n"/>
      <c r="U10" s="348" t="inlineStr">
        <is>
          <t>Evidence Ref</t>
        </is>
      </c>
      <c r="V10" s="14" t="n"/>
      <c r="W10" s="14" t="n"/>
      <c r="X10" s="14" t="n"/>
      <c r="Y10" s="14" t="n"/>
      <c r="Z10" s="14" t="n"/>
      <c r="AA10" s="30" t="n"/>
      <c r="AB10" s="349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50" t="n"/>
    </row>
    <row r="11" ht="20" customHeight="1">
      <c r="A11" s="351" t="inlineStr">
        <is>
          <t>Configuration Audit ID</t>
        </is>
      </c>
      <c r="B11" s="17" t="n"/>
      <c r="C11" s="17" t="n"/>
      <c r="D11" s="17" t="n"/>
      <c r="E11" s="17" t="n"/>
      <c r="F11" s="17" t="n"/>
      <c r="G11" s="53" t="n"/>
      <c r="H11" s="352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4" t="n"/>
      <c r="U11" s="355" t="inlineStr">
        <is>
          <t>Part / Baseline / Release</t>
        </is>
      </c>
      <c r="V11" s="17" t="n"/>
      <c r="W11" s="17" t="n"/>
      <c r="X11" s="17" t="n"/>
      <c r="Y11" s="17" t="n"/>
      <c r="Z11" s="17" t="n"/>
      <c r="AA11" s="53" t="n"/>
      <c r="AB11" s="356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357" t="n"/>
    </row>
    <row r="12" ht="18" customHeight="1">
      <c r="A12" s="342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8" customHeight="1">
      <c r="A13" s="28" t="inlineStr">
        <is>
          <t>#</t>
        </is>
      </c>
      <c r="B13" s="6" t="n"/>
      <c r="C13" s="6" t="n"/>
      <c r="D13" s="7" t="n"/>
      <c r="E13" s="358" t="inlineStr">
        <is>
          <t>Category</t>
        </is>
      </c>
      <c r="F13" s="6" t="n"/>
      <c r="G13" s="6" t="n"/>
      <c r="H13" s="7" t="n"/>
      <c r="I13" s="358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358" t="inlineStr">
        <is>
          <t>Evidence</t>
        </is>
      </c>
      <c r="R13" s="6" t="n"/>
      <c r="S13" s="6" t="n"/>
      <c r="T13" s="6" t="n"/>
      <c r="U13" s="7" t="n"/>
      <c r="V13" s="358" t="inlineStr">
        <is>
          <t>Result</t>
        </is>
      </c>
      <c r="W13" s="6" t="n"/>
      <c r="X13" s="6" t="n"/>
      <c r="Y13" s="7" t="n"/>
      <c r="Z13" s="358" t="inlineStr">
        <is>
          <t>Owner</t>
        </is>
      </c>
      <c r="AA13" s="6" t="n"/>
      <c r="AB13" s="6" t="n"/>
      <c r="AC13" s="7" t="n"/>
      <c r="AD13" s="358" t="inlineStr">
        <is>
          <t>Due</t>
        </is>
      </c>
      <c r="AE13" s="6" t="n"/>
      <c r="AF13" s="6" t="n"/>
      <c r="AG13" s="7" t="n"/>
      <c r="AH13" s="359" t="inlineStr">
        <is>
          <t>Comment</t>
        </is>
      </c>
      <c r="AI13" s="6" t="n"/>
      <c r="AJ13" s="6" t="n"/>
      <c r="AK13" s="6" t="n"/>
      <c r="AL13" s="6" t="n"/>
      <c r="AM13" s="6" t="n"/>
      <c r="AN13" s="9" t="n"/>
    </row>
    <row r="14" ht="20" customHeight="1">
      <c r="A14" s="360">
        <f>ROW()-ROW($A$14)+1</f>
        <v/>
      </c>
      <c r="B14" s="6" t="n"/>
      <c r="C14" s="6" t="n"/>
      <c r="D14" s="7" t="n"/>
      <c r="E14" s="361" t="inlineStr">
        <is>
          <t>CHECK</t>
        </is>
      </c>
      <c r="F14" s="26" t="n"/>
      <c r="G14" s="26" t="n"/>
      <c r="H14" s="27" t="n"/>
      <c r="I14" s="25" t="inlineStr">
        <is>
          <t>Approved baseline identified</t>
        </is>
      </c>
      <c r="J14" s="26" t="n"/>
      <c r="K14" s="26" t="n"/>
      <c r="L14" s="26" t="n"/>
      <c r="M14" s="26" t="n"/>
      <c r="N14" s="26" t="n"/>
      <c r="O14" s="26" t="n"/>
      <c r="P14" s="27" t="n"/>
      <c r="Q14" s="25" t="inlineStr">
        <is>
          <t>Part / revision / document / tool / program baseline matches release package</t>
        </is>
      </c>
      <c r="R14" s="26" t="n"/>
      <c r="S14" s="26" t="n"/>
      <c r="T14" s="26" t="n"/>
      <c r="U14" s="27" t="n"/>
      <c r="V14" s="362" t="n"/>
      <c r="W14" s="26" t="n"/>
      <c r="X14" s="26" t="n"/>
      <c r="Y14" s="27" t="n"/>
      <c r="Z14" s="362" t="n"/>
      <c r="AA14" s="26" t="n"/>
      <c r="AB14" s="26" t="n"/>
      <c r="AC14" s="27" t="n"/>
      <c r="AD14" s="362" t="n"/>
      <c r="AE14" s="26" t="n"/>
      <c r="AF14" s="26" t="n"/>
      <c r="AG14" s="27" t="n"/>
      <c r="AH14" s="345" t="n"/>
      <c r="AI14" s="26" t="n"/>
      <c r="AJ14" s="26" t="n"/>
      <c r="AK14" s="26" t="n"/>
      <c r="AL14" s="26" t="n"/>
      <c r="AM14" s="26" t="n"/>
      <c r="AN14" s="346" t="n"/>
    </row>
    <row r="15" ht="20" customHeight="1">
      <c r="A15" s="363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Configuration records aligned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Identifiers and revision references match across controlled records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64" t="n"/>
      <c r="AI15" s="32" t="n"/>
      <c r="AJ15" s="32" t="n"/>
      <c r="AK15" s="32" t="n"/>
      <c r="AL15" s="32" t="n"/>
      <c r="AM15" s="32" t="n"/>
      <c r="AN15" s="350" t="n"/>
    </row>
    <row r="16" ht="20" customHeight="1">
      <c r="A16" s="363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Affected stock / WIP disposition defined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Old / replaced items cannot flow uncontrolled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49" t="n"/>
      <c r="AI16" s="32" t="n"/>
      <c r="AJ16" s="32" t="n"/>
      <c r="AK16" s="32" t="n"/>
      <c r="AL16" s="32" t="n"/>
      <c r="AM16" s="32" t="n"/>
      <c r="AN16" s="350" t="n"/>
    </row>
    <row r="17" ht="20" customHeight="1">
      <c r="A17" s="363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Linked changes closed or controlled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Open change items have owner / due or blocking status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64" t="n"/>
      <c r="AI17" s="32" t="n"/>
      <c r="AJ17" s="32" t="n"/>
      <c r="AK17" s="32" t="n"/>
      <c r="AL17" s="32" t="n"/>
      <c r="AM17" s="32" t="n"/>
      <c r="AN17" s="350" t="n"/>
    </row>
    <row r="18" ht="20" customHeight="1">
      <c r="A18" s="363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Training / deployment impact handled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Affected users and systems updated where required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49" t="n"/>
      <c r="AI18" s="32" t="n"/>
      <c r="AJ18" s="32" t="n"/>
      <c r="AK18" s="32" t="n"/>
      <c r="AL18" s="32" t="n"/>
      <c r="AM18" s="32" t="n"/>
      <c r="AN18" s="350" t="n"/>
    </row>
    <row r="19" ht="20" customHeight="1">
      <c r="A19" s="363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Evidence package complete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Audit evidence and references are complete and traceable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64" t="n"/>
      <c r="AI19" s="32" t="n"/>
      <c r="AJ19" s="32" t="n"/>
      <c r="AK19" s="32" t="n"/>
      <c r="AL19" s="32" t="n"/>
      <c r="AM19" s="32" t="n"/>
      <c r="AN19" s="350" t="n"/>
    </row>
    <row r="20" ht="20" customHeight="1">
      <c r="A20" s="351" t="inlineStr">
        <is>
          <t>PASS Count</t>
        </is>
      </c>
      <c r="B20" s="17" t="n"/>
      <c r="C20" s="17" t="n"/>
      <c r="D20" s="53" t="n"/>
      <c r="E20" s="365">
        <f>COUNTIF(V14:V19,"PASS")</f>
        <v/>
      </c>
      <c r="F20" s="17" t="n"/>
      <c r="G20" s="17" t="n"/>
      <c r="H20" s="17" t="n"/>
      <c r="I20" s="17" t="n"/>
      <c r="J20" s="53" t="n"/>
      <c r="K20" s="355" t="inlineStr">
        <is>
          <t>HOLD Count</t>
        </is>
      </c>
      <c r="L20" s="17" t="n"/>
      <c r="M20" s="17" t="n"/>
      <c r="N20" s="53" t="n"/>
      <c r="O20" s="365">
        <f>COUNTIF(V14:V19,"HOLD")</f>
        <v/>
      </c>
      <c r="P20" s="17" t="n"/>
      <c r="Q20" s="17" t="n"/>
      <c r="R20" s="17" t="n"/>
      <c r="S20" s="17" t="n"/>
      <c r="T20" s="53" t="n"/>
      <c r="U20" s="355" t="inlineStr">
        <is>
          <t>FAIL Count</t>
        </is>
      </c>
      <c r="V20" s="17" t="n"/>
      <c r="W20" s="17" t="n"/>
      <c r="X20" s="53" t="n"/>
      <c r="Y20" s="365">
        <f>COUNTIF(V14:V19,"FAIL")</f>
        <v/>
      </c>
      <c r="Z20" s="17" t="n"/>
      <c r="AA20" s="17" t="n"/>
      <c r="AB20" s="17" t="n"/>
      <c r="AC20" s="17" t="n"/>
      <c r="AD20" s="53" t="n"/>
      <c r="AE20" s="355" t="inlineStr">
        <is>
          <t>System Gate Signal</t>
        </is>
      </c>
      <c r="AF20" s="17" t="n"/>
      <c r="AG20" s="17" t="n"/>
      <c r="AH20" s="53" t="n"/>
      <c r="AI20" s="54">
        <f>IF(Y20&gt;0,"REJECT",IF(O20&gt;0,"ON HOLD",IF(E20&gt;0,"READY","OPEN")))</f>
        <v/>
      </c>
      <c r="AJ20" s="17" t="n"/>
      <c r="AK20" s="17" t="n"/>
      <c r="AL20" s="17" t="n"/>
      <c r="AM20" s="17" t="n"/>
      <c r="AN20" s="18" t="n"/>
    </row>
    <row r="21" ht="18" customHeight="1">
      <c r="A21" s="342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343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344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345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346" t="n"/>
    </row>
    <row r="23" ht="26" customHeight="1">
      <c r="A23" s="351" t="inlineStr">
        <is>
          <t>Due Date</t>
        </is>
      </c>
      <c r="B23" s="17" t="n"/>
      <c r="C23" s="17" t="n"/>
      <c r="D23" s="17" t="n"/>
      <c r="E23" s="17" t="n"/>
      <c r="F23" s="17" t="n"/>
      <c r="G23" s="53" t="n"/>
      <c r="H23" s="352" t="n"/>
      <c r="I23" s="353" t="n"/>
      <c r="J23" s="353" t="n"/>
      <c r="K23" s="353" t="n"/>
      <c r="L23" s="353" t="n"/>
      <c r="M23" s="353" t="n"/>
      <c r="N23" s="353" t="n"/>
      <c r="O23" s="353" t="n"/>
      <c r="P23" s="353" t="n"/>
      <c r="Q23" s="353" t="n"/>
      <c r="R23" s="353" t="n"/>
      <c r="S23" s="353" t="n"/>
      <c r="T23" s="354" t="n"/>
      <c r="U23" s="355" t="inlineStr">
        <is>
          <t>Escalation Ref</t>
        </is>
      </c>
      <c r="V23" s="17" t="n"/>
      <c r="W23" s="17" t="n"/>
      <c r="X23" s="17" t="n"/>
      <c r="Y23" s="17" t="n"/>
      <c r="Z23" s="17" t="n"/>
      <c r="AA23" s="53" t="n"/>
      <c r="AB23" s="356" t="n"/>
      <c r="AC23" s="353" t="n"/>
      <c r="AD23" s="353" t="n"/>
      <c r="AE23" s="353" t="n"/>
      <c r="AF23" s="353" t="n"/>
      <c r="AG23" s="353" t="n"/>
      <c r="AH23" s="353" t="n"/>
      <c r="AI23" s="353" t="n"/>
      <c r="AJ23" s="353" t="n"/>
      <c r="AK23" s="353" t="n"/>
      <c r="AL23" s="353" t="n"/>
      <c r="AM23" s="353" t="n"/>
      <c r="AN23" s="357" t="n"/>
    </row>
    <row r="24" ht="18" customHeight="1">
      <c r="A24" s="342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343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344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345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346" t="n"/>
    </row>
    <row r="26" ht="20" customHeight="1">
      <c r="A26" s="347" t="inlineStr">
        <is>
          <t>Decision</t>
        </is>
      </c>
      <c r="B26" s="14" t="n"/>
      <c r="C26" s="14" t="n"/>
      <c r="D26" s="14" t="n"/>
      <c r="E26" s="14" t="n"/>
      <c r="F26" s="14" t="n"/>
      <c r="G26" s="30" t="n"/>
      <c r="H26" s="34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3" t="n"/>
      <c r="U26" s="348" t="inlineStr">
        <is>
          <t>Status</t>
        </is>
      </c>
      <c r="V26" s="14" t="n"/>
      <c r="W26" s="14" t="n"/>
      <c r="X26" s="14" t="n"/>
      <c r="Y26" s="14" t="n"/>
      <c r="Z26" s="14" t="n"/>
      <c r="AA26" s="30" t="n"/>
      <c r="AB26" s="349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50" t="n"/>
    </row>
    <row r="27" ht="20" customHeight="1">
      <c r="A27" s="347" t="inlineStr">
        <is>
          <t>Owner</t>
        </is>
      </c>
      <c r="B27" s="14" t="n"/>
      <c r="C27" s="14" t="n"/>
      <c r="D27" s="14" t="n"/>
      <c r="E27" s="14" t="n"/>
      <c r="F27" s="14" t="n"/>
      <c r="G27" s="30" t="n"/>
      <c r="H27" s="34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3" t="n"/>
      <c r="U27" s="348" t="inlineStr">
        <is>
          <t>Due Date</t>
        </is>
      </c>
      <c r="V27" s="14" t="n"/>
      <c r="W27" s="14" t="n"/>
      <c r="X27" s="14" t="n"/>
      <c r="Y27" s="14" t="n"/>
      <c r="Z27" s="14" t="n"/>
      <c r="AA27" s="30" t="n"/>
      <c r="AB27" s="349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50" t="n"/>
    </row>
    <row r="28" ht="20" customHeight="1">
      <c r="A28" s="347" t="inlineStr">
        <is>
          <t>Evidence Ref</t>
        </is>
      </c>
      <c r="B28" s="14" t="n"/>
      <c r="C28" s="14" t="n"/>
      <c r="D28" s="14" t="n"/>
      <c r="E28" s="14" t="n"/>
      <c r="F28" s="14" t="n"/>
      <c r="G28" s="30" t="n"/>
      <c r="H28" s="34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3" t="n"/>
      <c r="U28" s="348" t="inlineStr">
        <is>
          <t>Comments</t>
        </is>
      </c>
      <c r="V28" s="14" t="n"/>
      <c r="W28" s="14" t="n"/>
      <c r="X28" s="14" t="n"/>
      <c r="Y28" s="14" t="n"/>
      <c r="Z28" s="14" t="n"/>
      <c r="AA28" s="30" t="n"/>
      <c r="AB28" s="349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50" t="n"/>
    </row>
    <row r="29" ht="26" customHeight="1">
      <c r="A29" s="366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67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68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49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69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70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371" t="n"/>
    </row>
    <row r="31" ht="20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371" t="n"/>
    </row>
    <row r="32" ht="20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50" t="n"/>
    </row>
    <row r="33" ht="18" customHeight="1">
      <c r="A33" s="342" t="inlineStr">
        <is>
          <t>NOTICE: Configuration audits shall verify baseline identity, record alignment, stock or WIP disposition and control of linked changes with objective evidence for every decision.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9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7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FRM-163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32" t="inlineStr">
        <is>
          <t>CONFIGURATION AUDIT CHECKLIST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9" t="inlineStr">
        <is>
          <t>Form Code</t>
        </is>
      </c>
      <c r="AR1" s="2" t="n"/>
      <c r="AS1" s="2" t="n"/>
      <c r="AT1" s="2" t="n"/>
      <c r="AU1" s="2" t="n"/>
      <c r="AV1" s="330" t="n"/>
      <c r="AW1" s="331" t="inlineStr">
        <is>
          <t>FRM-163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32" t="inlineStr">
        <is>
          <t>Revision</t>
        </is>
      </c>
      <c r="AR2" s="333" t="n"/>
      <c r="AS2" s="333" t="n"/>
      <c r="AT2" s="333" t="n"/>
      <c r="AU2" s="333" t="n"/>
      <c r="AV2" s="334" t="n"/>
      <c r="AW2" s="335" t="inlineStr">
        <is>
          <t>V0</t>
        </is>
      </c>
      <c r="AX2" s="333" t="n"/>
      <c r="AY2" s="333" t="n"/>
      <c r="AZ2" s="333" t="n"/>
      <c r="BA2" s="333" t="n"/>
      <c r="BB2" s="333" t="n"/>
      <c r="BC2" s="333" t="n"/>
      <c r="BD2" s="336" t="n"/>
    </row>
    <row r="3" ht="15" customHeight="1">
      <c r="A3" s="10" t="n"/>
      <c r="K3" s="11" t="n"/>
      <c r="L3" s="10" t="n"/>
      <c r="AQ3" s="332" t="inlineStr">
        <is>
          <t>Eff. Date</t>
        </is>
      </c>
      <c r="AR3" s="333" t="n"/>
      <c r="AS3" s="333" t="n"/>
      <c r="AT3" s="333" t="n"/>
      <c r="AU3" s="333" t="n"/>
      <c r="AV3" s="334" t="n"/>
      <c r="AW3" s="335" t="inlineStr">
        <is>
          <t>YYYY-MM-DD</t>
        </is>
      </c>
      <c r="AX3" s="333" t="n"/>
      <c r="AY3" s="333" t="n"/>
      <c r="AZ3" s="333" t="n"/>
      <c r="BA3" s="333" t="n"/>
      <c r="BB3" s="333" t="n"/>
      <c r="BC3" s="333" t="n"/>
      <c r="BD3" s="336" t="n"/>
    </row>
    <row r="4" ht="15" customHeight="1">
      <c r="A4" s="10" t="n"/>
      <c r="K4" s="11" t="n"/>
      <c r="L4" s="244" t="inlineStr">
        <is>
          <t>Quality Management System · Controlled Document</t>
        </is>
      </c>
      <c r="AQ4" s="332" t="inlineStr">
        <is>
          <t>Owner</t>
        </is>
      </c>
      <c r="AR4" s="333" t="n"/>
      <c r="AS4" s="333" t="n"/>
      <c r="AT4" s="333" t="n"/>
      <c r="AU4" s="333" t="n"/>
      <c r="AV4" s="334" t="n"/>
      <c r="AW4" s="335" t="inlineStr">
        <is>
          <t>QMS</t>
        </is>
      </c>
      <c r="AX4" s="333" t="n"/>
      <c r="AY4" s="333" t="n"/>
      <c r="AZ4" s="333" t="n"/>
      <c r="BA4" s="333" t="n"/>
      <c r="BB4" s="333" t="n"/>
      <c r="BC4" s="333" t="n"/>
      <c r="BD4" s="33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7" t="inlineStr">
        <is>
          <t>Approved</t>
        </is>
      </c>
      <c r="AR5" s="338" t="n"/>
      <c r="AS5" s="338" t="n"/>
      <c r="AT5" s="338" t="n"/>
      <c r="AU5" s="338" t="n"/>
      <c r="AV5" s="339" t="n"/>
      <c r="AW5" s="340" t="inlineStr">
        <is>
          <t>Per authority matrix</t>
        </is>
      </c>
      <c r="AX5" s="338" t="n"/>
      <c r="AY5" s="338" t="n"/>
      <c r="AZ5" s="338" t="n"/>
      <c r="BA5" s="338" t="n"/>
      <c r="BB5" s="338" t="n"/>
      <c r="BC5" s="338" t="n"/>
      <c r="BD5" s="341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  <c r="AO6" s="253" t="n"/>
      <c r="AP6" s="253" t="n"/>
      <c r="AQ6" s="253" t="n"/>
      <c r="AR6" s="253" t="n"/>
      <c r="AS6" s="253" t="n"/>
      <c r="AT6" s="253" t="n"/>
      <c r="AU6" s="253" t="n"/>
      <c r="AV6" s="253" t="n"/>
      <c r="AW6" s="253" t="n"/>
      <c r="AX6" s="253" t="n"/>
      <c r="AY6" s="253" t="n"/>
      <c r="AZ6" s="253" t="n"/>
      <c r="BA6" s="253" t="n"/>
      <c r="BB6" s="253" t="n"/>
      <c r="BC6" s="253" t="n"/>
      <c r="BD6" s="253" t="n"/>
    </row>
    <row r="7" ht="18" customHeight="1">
      <c r="A7" s="34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4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SOP-106 | ANNEX: ANNEX-QMS-023, ANNEX-QMS-025, ANNEX-QMS-026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72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73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47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374" t="inlineStr">
        <is>
          <t>Detailed finding / action sheet linked from the primary gate page.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30" t="n"/>
      <c r="AC9" s="375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376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9" t="n"/>
    </row>
    <row r="10" ht="20" customHeight="1">
      <c r="A10" s="351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3" t="n"/>
      <c r="K10" s="365" t="inlineStr">
        <is>
          <t>Configuration audit gate only; do not replace baseline release records.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3" t="n"/>
      <c r="AC10" s="377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3" t="n"/>
      <c r="AM10" s="378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42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28" t="inlineStr">
        <is>
          <t>Finding ID</t>
        </is>
      </c>
      <c r="B12" s="6" t="n"/>
      <c r="C12" s="6" t="n"/>
      <c r="D12" s="6" t="n"/>
      <c r="E12" s="7" t="n"/>
      <c r="F12" s="358" t="inlineStr">
        <is>
          <t>Area or Clause</t>
        </is>
      </c>
      <c r="G12" s="6" t="n"/>
      <c r="H12" s="6" t="n"/>
      <c r="I12" s="6" t="n"/>
      <c r="J12" s="7" t="n"/>
      <c r="K12" s="358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358" t="inlineStr">
        <is>
          <t>Severity</t>
        </is>
      </c>
      <c r="T12" s="6" t="n"/>
      <c r="U12" s="6" t="n"/>
      <c r="V12" s="6" t="n"/>
      <c r="W12" s="6" t="n"/>
      <c r="X12" s="7" t="n"/>
      <c r="Y12" s="358" t="inlineStr">
        <is>
          <t>Containment Need</t>
        </is>
      </c>
      <c r="Z12" s="6" t="n"/>
      <c r="AA12" s="6" t="n"/>
      <c r="AB12" s="6" t="n"/>
      <c r="AC12" s="6" t="n"/>
      <c r="AD12" s="7" t="n"/>
      <c r="AE12" s="358" t="inlineStr">
        <is>
          <t>Owner</t>
        </is>
      </c>
      <c r="AF12" s="6" t="n"/>
      <c r="AG12" s="6" t="n"/>
      <c r="AH12" s="6" t="n"/>
      <c r="AI12" s="6" t="n"/>
      <c r="AJ12" s="7" t="n"/>
      <c r="AK12" s="358" t="inlineStr">
        <is>
          <t>Due Date</t>
        </is>
      </c>
      <c r="AL12" s="6" t="n"/>
      <c r="AM12" s="6" t="n"/>
      <c r="AN12" s="6" t="n"/>
      <c r="AO12" s="6" t="n"/>
      <c r="AP12" s="7" t="n"/>
      <c r="AQ12" s="358" t="inlineStr">
        <is>
          <t>Status</t>
        </is>
      </c>
      <c r="AR12" s="6" t="n"/>
      <c r="AS12" s="6" t="n"/>
      <c r="AT12" s="6" t="n"/>
      <c r="AU12" s="6" t="n"/>
      <c r="AV12" s="7" t="n"/>
      <c r="AW12" s="359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9" t="n"/>
    </row>
    <row r="13" ht="20" customHeight="1">
      <c r="A13" s="379" t="n"/>
      <c r="B13" s="26" t="n"/>
      <c r="C13" s="26" t="n"/>
      <c r="D13" s="26" t="n"/>
      <c r="E13" s="27" t="n"/>
      <c r="F13" s="25" t="n"/>
      <c r="G13" s="26" t="n"/>
      <c r="H13" s="26" t="n"/>
      <c r="I13" s="26" t="n"/>
      <c r="J13" s="27" t="n"/>
      <c r="K13" s="25" t="n"/>
      <c r="L13" s="26" t="n"/>
      <c r="M13" s="26" t="n"/>
      <c r="N13" s="26" t="n"/>
      <c r="O13" s="26" t="n"/>
      <c r="P13" s="26" t="n"/>
      <c r="Q13" s="26" t="n"/>
      <c r="R13" s="27" t="n"/>
      <c r="S13" s="362" t="n"/>
      <c r="T13" s="26" t="n"/>
      <c r="U13" s="26" t="n"/>
      <c r="V13" s="26" t="n"/>
      <c r="W13" s="26" t="n"/>
      <c r="X13" s="27" t="n"/>
      <c r="Y13" s="25" t="n"/>
      <c r="Z13" s="26" t="n"/>
      <c r="AA13" s="26" t="n"/>
      <c r="AB13" s="26" t="n"/>
      <c r="AC13" s="26" t="n"/>
      <c r="AD13" s="27" t="n"/>
      <c r="AE13" s="362" t="n"/>
      <c r="AF13" s="26" t="n"/>
      <c r="AG13" s="26" t="n"/>
      <c r="AH13" s="26" t="n"/>
      <c r="AI13" s="26" t="n"/>
      <c r="AJ13" s="27" t="n"/>
      <c r="AK13" s="362" t="n"/>
      <c r="AL13" s="26" t="n"/>
      <c r="AM13" s="26" t="n"/>
      <c r="AN13" s="26" t="n"/>
      <c r="AO13" s="26" t="n"/>
      <c r="AP13" s="27" t="n"/>
      <c r="AQ13" s="362" t="n"/>
      <c r="AR13" s="26" t="n"/>
      <c r="AS13" s="26" t="n"/>
      <c r="AT13" s="26" t="n"/>
      <c r="AU13" s="26" t="n"/>
      <c r="AV13" s="27" t="n"/>
      <c r="AW13" s="345" t="n"/>
      <c r="AX13" s="26" t="n"/>
      <c r="AY13" s="26" t="n"/>
      <c r="AZ13" s="26" t="n"/>
      <c r="BA13" s="26" t="n"/>
      <c r="BB13" s="26" t="n"/>
      <c r="BC13" s="26" t="n"/>
      <c r="BD13" s="346" t="n"/>
    </row>
    <row r="14" ht="20" customHeight="1">
      <c r="A14" s="380" t="n"/>
      <c r="B14" s="32" t="n"/>
      <c r="C14" s="32" t="n"/>
      <c r="D14" s="32" t="n"/>
      <c r="E14" s="33" t="n"/>
      <c r="F14" s="36" t="n"/>
      <c r="G14" s="32" t="n"/>
      <c r="H14" s="32" t="n"/>
      <c r="I14" s="32" t="n"/>
      <c r="J14" s="33" t="n"/>
      <c r="K14" s="36" t="n"/>
      <c r="L14" s="32" t="n"/>
      <c r="M14" s="32" t="n"/>
      <c r="N14" s="32" t="n"/>
      <c r="O14" s="32" t="n"/>
      <c r="P14" s="32" t="n"/>
      <c r="Q14" s="32" t="n"/>
      <c r="R14" s="33" t="n"/>
      <c r="S14" s="35" t="n"/>
      <c r="T14" s="32" t="n"/>
      <c r="U14" s="32" t="n"/>
      <c r="V14" s="32" t="n"/>
      <c r="W14" s="32" t="n"/>
      <c r="X14" s="33" t="n"/>
      <c r="Y14" s="36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5" t="n"/>
      <c r="AR14" s="32" t="n"/>
      <c r="AS14" s="32" t="n"/>
      <c r="AT14" s="32" t="n"/>
      <c r="AU14" s="32" t="n"/>
      <c r="AV14" s="33" t="n"/>
      <c r="AW14" s="364" t="n"/>
      <c r="AX14" s="32" t="n"/>
      <c r="AY14" s="32" t="n"/>
      <c r="AZ14" s="32" t="n"/>
      <c r="BA14" s="32" t="n"/>
      <c r="BB14" s="32" t="n"/>
      <c r="BC14" s="32" t="n"/>
      <c r="BD14" s="350" t="n"/>
    </row>
    <row r="15" ht="20" customHeight="1">
      <c r="A15" s="380" t="n"/>
      <c r="B15" s="32" t="n"/>
      <c r="C15" s="32" t="n"/>
      <c r="D15" s="32" t="n"/>
      <c r="E15" s="33" t="n"/>
      <c r="F15" s="34" t="n"/>
      <c r="G15" s="32" t="n"/>
      <c r="H15" s="32" t="n"/>
      <c r="I15" s="32" t="n"/>
      <c r="J15" s="33" t="n"/>
      <c r="K15" s="34" t="n"/>
      <c r="L15" s="32" t="n"/>
      <c r="M15" s="32" t="n"/>
      <c r="N15" s="32" t="n"/>
      <c r="O15" s="32" t="n"/>
      <c r="P15" s="32" t="n"/>
      <c r="Q15" s="32" t="n"/>
      <c r="R15" s="33" t="n"/>
      <c r="S15" s="35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2" t="n"/>
      <c r="AC15" s="32" t="n"/>
      <c r="AD15" s="33" t="n"/>
      <c r="AE15" s="35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2" t="n"/>
      <c r="AV15" s="33" t="n"/>
      <c r="AW15" s="349" t="n"/>
      <c r="AX15" s="32" t="n"/>
      <c r="AY15" s="32" t="n"/>
      <c r="AZ15" s="32" t="n"/>
      <c r="BA15" s="32" t="n"/>
      <c r="BB15" s="32" t="n"/>
      <c r="BC15" s="32" t="n"/>
      <c r="BD15" s="350" t="n"/>
    </row>
    <row r="16" ht="20" customHeight="1">
      <c r="A16" s="380" t="n"/>
      <c r="B16" s="32" t="n"/>
      <c r="C16" s="32" t="n"/>
      <c r="D16" s="32" t="n"/>
      <c r="E16" s="33" t="n"/>
      <c r="F16" s="36" t="n"/>
      <c r="G16" s="32" t="n"/>
      <c r="H16" s="32" t="n"/>
      <c r="I16" s="32" t="n"/>
      <c r="J16" s="33" t="n"/>
      <c r="K16" s="36" t="n"/>
      <c r="L16" s="32" t="n"/>
      <c r="M16" s="32" t="n"/>
      <c r="N16" s="32" t="n"/>
      <c r="O16" s="32" t="n"/>
      <c r="P16" s="32" t="n"/>
      <c r="Q16" s="32" t="n"/>
      <c r="R16" s="33" t="n"/>
      <c r="S16" s="35" t="n"/>
      <c r="T16" s="32" t="n"/>
      <c r="U16" s="32" t="n"/>
      <c r="V16" s="32" t="n"/>
      <c r="W16" s="32" t="n"/>
      <c r="X16" s="33" t="n"/>
      <c r="Y16" s="36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5" t="n"/>
      <c r="AR16" s="32" t="n"/>
      <c r="AS16" s="32" t="n"/>
      <c r="AT16" s="32" t="n"/>
      <c r="AU16" s="32" t="n"/>
      <c r="AV16" s="33" t="n"/>
      <c r="AW16" s="364" t="n"/>
      <c r="AX16" s="32" t="n"/>
      <c r="AY16" s="32" t="n"/>
      <c r="AZ16" s="32" t="n"/>
      <c r="BA16" s="32" t="n"/>
      <c r="BB16" s="32" t="n"/>
      <c r="BC16" s="32" t="n"/>
      <c r="BD16" s="350" t="n"/>
    </row>
    <row r="17" ht="20" customHeight="1">
      <c r="A17" s="380" t="n"/>
      <c r="B17" s="32" t="n"/>
      <c r="C17" s="32" t="n"/>
      <c r="D17" s="32" t="n"/>
      <c r="E17" s="33" t="n"/>
      <c r="F17" s="34" t="n"/>
      <c r="G17" s="32" t="n"/>
      <c r="H17" s="32" t="n"/>
      <c r="I17" s="32" t="n"/>
      <c r="J17" s="33" t="n"/>
      <c r="K17" s="34" t="n"/>
      <c r="L17" s="32" t="n"/>
      <c r="M17" s="32" t="n"/>
      <c r="N17" s="32" t="n"/>
      <c r="O17" s="32" t="n"/>
      <c r="P17" s="32" t="n"/>
      <c r="Q17" s="32" t="n"/>
      <c r="R17" s="33" t="n"/>
      <c r="S17" s="35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2" t="n"/>
      <c r="AC17" s="32" t="n"/>
      <c r="AD17" s="33" t="n"/>
      <c r="AE17" s="35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5" t="n"/>
      <c r="AR17" s="32" t="n"/>
      <c r="AS17" s="32" t="n"/>
      <c r="AT17" s="32" t="n"/>
      <c r="AU17" s="32" t="n"/>
      <c r="AV17" s="33" t="n"/>
      <c r="AW17" s="349" t="n"/>
      <c r="AX17" s="32" t="n"/>
      <c r="AY17" s="32" t="n"/>
      <c r="AZ17" s="32" t="n"/>
      <c r="BA17" s="32" t="n"/>
      <c r="BB17" s="32" t="n"/>
      <c r="BC17" s="32" t="n"/>
      <c r="BD17" s="350" t="n"/>
    </row>
    <row r="18" ht="20" customHeight="1">
      <c r="A18" s="381" t="n"/>
      <c r="B18" s="353" t="n"/>
      <c r="C18" s="353" t="n"/>
      <c r="D18" s="353" t="n"/>
      <c r="E18" s="354" t="n"/>
      <c r="F18" s="382" t="n"/>
      <c r="G18" s="353" t="n"/>
      <c r="H18" s="353" t="n"/>
      <c r="I18" s="353" t="n"/>
      <c r="J18" s="354" t="n"/>
      <c r="K18" s="382" t="n"/>
      <c r="L18" s="353" t="n"/>
      <c r="M18" s="353" t="n"/>
      <c r="N18" s="353" t="n"/>
      <c r="O18" s="353" t="n"/>
      <c r="P18" s="353" t="n"/>
      <c r="Q18" s="353" t="n"/>
      <c r="R18" s="354" t="n"/>
      <c r="S18" s="383" t="n"/>
      <c r="T18" s="353" t="n"/>
      <c r="U18" s="353" t="n"/>
      <c r="V18" s="353" t="n"/>
      <c r="W18" s="353" t="n"/>
      <c r="X18" s="354" t="n"/>
      <c r="Y18" s="382" t="n"/>
      <c r="Z18" s="353" t="n"/>
      <c r="AA18" s="353" t="n"/>
      <c r="AB18" s="353" t="n"/>
      <c r="AC18" s="353" t="n"/>
      <c r="AD18" s="354" t="n"/>
      <c r="AE18" s="383" t="n"/>
      <c r="AF18" s="353" t="n"/>
      <c r="AG18" s="353" t="n"/>
      <c r="AH18" s="353" t="n"/>
      <c r="AI18" s="353" t="n"/>
      <c r="AJ18" s="354" t="n"/>
      <c r="AK18" s="383" t="n"/>
      <c r="AL18" s="353" t="n"/>
      <c r="AM18" s="353" t="n"/>
      <c r="AN18" s="353" t="n"/>
      <c r="AO18" s="353" t="n"/>
      <c r="AP18" s="354" t="n"/>
      <c r="AQ18" s="383" t="n"/>
      <c r="AR18" s="353" t="n"/>
      <c r="AS18" s="353" t="n"/>
      <c r="AT18" s="353" t="n"/>
      <c r="AU18" s="353" t="n"/>
      <c r="AV18" s="354" t="n"/>
      <c r="AW18" s="384" t="n"/>
      <c r="AX18" s="353" t="n"/>
      <c r="AY18" s="353" t="n"/>
      <c r="AZ18" s="353" t="n"/>
      <c r="BA18" s="353" t="n"/>
      <c r="BB18" s="353" t="n"/>
      <c r="BC18" s="353" t="n"/>
      <c r="BD18" s="357" t="n"/>
    </row>
    <row r="19" ht="18" customHeight="1">
      <c r="A19" s="342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2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FRM-163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32" t="inlineStr">
        <is>
          <t>CONFIGURATION AUDIT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9" t="inlineStr">
        <is>
          <t>Form Code</t>
        </is>
      </c>
      <c r="AR1" s="2" t="n"/>
      <c r="AS1" s="2" t="n"/>
      <c r="AT1" s="2" t="n"/>
      <c r="AU1" s="2" t="n"/>
      <c r="AV1" s="330" t="n"/>
      <c r="AW1" s="331" t="inlineStr">
        <is>
          <t>FRM-163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32" t="inlineStr">
        <is>
          <t>Revision</t>
        </is>
      </c>
      <c r="AR2" s="333" t="n"/>
      <c r="AS2" s="333" t="n"/>
      <c r="AT2" s="333" t="n"/>
      <c r="AU2" s="333" t="n"/>
      <c r="AV2" s="334" t="n"/>
      <c r="AW2" s="335" t="inlineStr">
        <is>
          <t>V0</t>
        </is>
      </c>
      <c r="AX2" s="333" t="n"/>
      <c r="AY2" s="333" t="n"/>
      <c r="AZ2" s="333" t="n"/>
      <c r="BA2" s="333" t="n"/>
      <c r="BB2" s="333" t="n"/>
      <c r="BC2" s="333" t="n"/>
      <c r="BD2" s="336" t="n"/>
    </row>
    <row r="3" ht="15" customHeight="1">
      <c r="A3" s="10" t="n"/>
      <c r="K3" s="11" t="n"/>
      <c r="L3" s="10" t="n"/>
      <c r="AQ3" s="332" t="inlineStr">
        <is>
          <t>Eff. Date</t>
        </is>
      </c>
      <c r="AR3" s="333" t="n"/>
      <c r="AS3" s="333" t="n"/>
      <c r="AT3" s="333" t="n"/>
      <c r="AU3" s="333" t="n"/>
      <c r="AV3" s="334" t="n"/>
      <c r="AW3" s="335" t="inlineStr">
        <is>
          <t>YYYY-MM-DD</t>
        </is>
      </c>
      <c r="AX3" s="333" t="n"/>
      <c r="AY3" s="333" t="n"/>
      <c r="AZ3" s="333" t="n"/>
      <c r="BA3" s="333" t="n"/>
      <c r="BB3" s="333" t="n"/>
      <c r="BC3" s="333" t="n"/>
      <c r="BD3" s="336" t="n"/>
    </row>
    <row r="4" ht="15" customHeight="1">
      <c r="A4" s="10" t="n"/>
      <c r="K4" s="11" t="n"/>
      <c r="L4" s="244" t="inlineStr">
        <is>
          <t>Quality Management System · Controlled Document</t>
        </is>
      </c>
      <c r="AQ4" s="332" t="inlineStr">
        <is>
          <t>Owner</t>
        </is>
      </c>
      <c r="AR4" s="333" t="n"/>
      <c r="AS4" s="333" t="n"/>
      <c r="AT4" s="333" t="n"/>
      <c r="AU4" s="333" t="n"/>
      <c r="AV4" s="334" t="n"/>
      <c r="AW4" s="335" t="inlineStr">
        <is>
          <t>QMS</t>
        </is>
      </c>
      <c r="AX4" s="333" t="n"/>
      <c r="AY4" s="333" t="n"/>
      <c r="AZ4" s="333" t="n"/>
      <c r="BA4" s="333" t="n"/>
      <c r="BB4" s="333" t="n"/>
      <c r="BC4" s="333" t="n"/>
      <c r="BD4" s="33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7" t="inlineStr">
        <is>
          <t>Approved</t>
        </is>
      </c>
      <c r="AR5" s="338" t="n"/>
      <c r="AS5" s="338" t="n"/>
      <c r="AT5" s="338" t="n"/>
      <c r="AU5" s="338" t="n"/>
      <c r="AV5" s="339" t="n"/>
      <c r="AW5" s="340" t="inlineStr">
        <is>
          <t>Per authority matrix</t>
        </is>
      </c>
      <c r="AX5" s="338" t="n"/>
      <c r="AY5" s="338" t="n"/>
      <c r="AZ5" s="338" t="n"/>
      <c r="BA5" s="338" t="n"/>
      <c r="BB5" s="338" t="n"/>
      <c r="BC5" s="338" t="n"/>
      <c r="BD5" s="341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  <c r="AO6" s="253" t="n"/>
      <c r="AP6" s="253" t="n"/>
      <c r="AQ6" s="253" t="n"/>
      <c r="AR6" s="253" t="n"/>
      <c r="AS6" s="253" t="n"/>
      <c r="AT6" s="253" t="n"/>
      <c r="AU6" s="253" t="n"/>
      <c r="AV6" s="253" t="n"/>
      <c r="AW6" s="253" t="n"/>
      <c r="AX6" s="253" t="n"/>
      <c r="AY6" s="253" t="n"/>
      <c r="AZ6" s="253" t="n"/>
      <c r="BA6" s="253" t="n"/>
      <c r="BB6" s="253" t="n"/>
      <c r="BC6" s="253" t="n"/>
      <c r="BD6" s="253" t="n"/>
    </row>
    <row r="7" ht="18" customHeight="1">
      <c r="A7" s="34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4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72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73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51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3" t="n"/>
      <c r="K9" s="365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3" t="n"/>
      <c r="AC9" s="377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3" t="n"/>
      <c r="AM9" s="378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42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58" t="inlineStr">
        <is>
          <t>Related Record</t>
        </is>
      </c>
      <c r="J11" s="6" t="n"/>
      <c r="K11" s="6" t="n"/>
      <c r="L11" s="6" t="n"/>
      <c r="M11" s="7" t="n"/>
      <c r="N11" s="35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58" t="inlineStr">
        <is>
          <t>Source System</t>
        </is>
      </c>
      <c r="Z11" s="6" t="n"/>
      <c r="AA11" s="6" t="n"/>
      <c r="AB11" s="6" t="n"/>
      <c r="AC11" s="7" t="n"/>
      <c r="AD11" s="35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58" t="inlineStr">
        <is>
          <t>Owner</t>
        </is>
      </c>
      <c r="AL11" s="6" t="n"/>
      <c r="AM11" s="6" t="n"/>
      <c r="AN11" s="6" t="n"/>
      <c r="AO11" s="6" t="n"/>
      <c r="AP11" s="7" t="n"/>
      <c r="AQ11" s="358" t="inlineStr">
        <is>
          <t>Date</t>
        </is>
      </c>
      <c r="AR11" s="6" t="n"/>
      <c r="AS11" s="6" t="n"/>
      <c r="AT11" s="6" t="n"/>
      <c r="AU11" s="7" t="n"/>
      <c r="AV11" s="35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60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62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45" t="n"/>
      <c r="AW12" s="26" t="n"/>
      <c r="AX12" s="26" t="n"/>
      <c r="AY12" s="26" t="n"/>
      <c r="AZ12" s="26" t="n"/>
      <c r="BA12" s="26" t="n"/>
      <c r="BB12" s="26" t="n"/>
      <c r="BC12" s="26" t="n"/>
      <c r="BD12" s="346" t="n"/>
    </row>
    <row r="13" ht="20" customHeight="1">
      <c r="A13" s="363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4" t="n"/>
      <c r="AW13" s="32" t="n"/>
      <c r="AX13" s="32" t="n"/>
      <c r="AY13" s="32" t="n"/>
      <c r="AZ13" s="32" t="n"/>
      <c r="BA13" s="32" t="n"/>
      <c r="BB13" s="32" t="n"/>
      <c r="BC13" s="32" t="n"/>
      <c r="BD13" s="350" t="n"/>
    </row>
    <row r="14" ht="20" customHeight="1">
      <c r="A14" s="363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49" t="n"/>
      <c r="AW14" s="32" t="n"/>
      <c r="AX14" s="32" t="n"/>
      <c r="AY14" s="32" t="n"/>
      <c r="AZ14" s="32" t="n"/>
      <c r="BA14" s="32" t="n"/>
      <c r="BB14" s="32" t="n"/>
      <c r="BC14" s="32" t="n"/>
      <c r="BD14" s="350" t="n"/>
    </row>
    <row r="15" ht="20" customHeight="1">
      <c r="A15" s="363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4" t="n"/>
      <c r="AW15" s="32" t="n"/>
      <c r="AX15" s="32" t="n"/>
      <c r="AY15" s="32" t="n"/>
      <c r="AZ15" s="32" t="n"/>
      <c r="BA15" s="32" t="n"/>
      <c r="BB15" s="32" t="n"/>
      <c r="BC15" s="32" t="n"/>
      <c r="BD15" s="350" t="n"/>
    </row>
    <row r="16" ht="20" customHeight="1">
      <c r="A16" s="363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49" t="n"/>
      <c r="AW16" s="32" t="n"/>
      <c r="AX16" s="32" t="n"/>
      <c r="AY16" s="32" t="n"/>
      <c r="AZ16" s="32" t="n"/>
      <c r="BA16" s="32" t="n"/>
      <c r="BB16" s="32" t="n"/>
      <c r="BC16" s="32" t="n"/>
      <c r="BD16" s="350" t="n"/>
    </row>
    <row r="17" ht="20" customHeight="1">
      <c r="A17" s="385" t="n"/>
      <c r="B17" s="17" t="n"/>
      <c r="C17" s="17" t="n"/>
      <c r="D17" s="17" t="n"/>
      <c r="E17" s="17" t="n"/>
      <c r="F17" s="17" t="n"/>
      <c r="G17" s="17" t="n"/>
      <c r="H17" s="53" t="n"/>
      <c r="I17" s="382" t="n"/>
      <c r="J17" s="353" t="n"/>
      <c r="K17" s="353" t="n"/>
      <c r="L17" s="353" t="n"/>
      <c r="M17" s="354" t="n"/>
      <c r="N17" s="382" t="n"/>
      <c r="O17" s="353" t="n"/>
      <c r="P17" s="353" t="n"/>
      <c r="Q17" s="353" t="n"/>
      <c r="R17" s="353" t="n"/>
      <c r="S17" s="353" t="n"/>
      <c r="T17" s="353" t="n"/>
      <c r="U17" s="353" t="n"/>
      <c r="V17" s="353" t="n"/>
      <c r="W17" s="353" t="n"/>
      <c r="X17" s="354" t="n"/>
      <c r="Y17" s="382" t="n"/>
      <c r="Z17" s="353" t="n"/>
      <c r="AA17" s="353" t="n"/>
      <c r="AB17" s="353" t="n"/>
      <c r="AC17" s="354" t="n"/>
      <c r="AD17" s="382" t="n"/>
      <c r="AE17" s="353" t="n"/>
      <c r="AF17" s="353" t="n"/>
      <c r="AG17" s="353" t="n"/>
      <c r="AH17" s="353" t="n"/>
      <c r="AI17" s="353" t="n"/>
      <c r="AJ17" s="354" t="n"/>
      <c r="AK17" s="383" t="n"/>
      <c r="AL17" s="353" t="n"/>
      <c r="AM17" s="353" t="n"/>
      <c r="AN17" s="353" t="n"/>
      <c r="AO17" s="353" t="n"/>
      <c r="AP17" s="354" t="n"/>
      <c r="AQ17" s="382" t="n"/>
      <c r="AR17" s="353" t="n"/>
      <c r="AS17" s="353" t="n"/>
      <c r="AT17" s="353" t="n"/>
      <c r="AU17" s="354" t="n"/>
      <c r="AV17" s="384" t="n"/>
      <c r="AW17" s="353" t="n"/>
      <c r="AX17" s="353" t="n"/>
      <c r="AY17" s="353" t="n"/>
      <c r="AZ17" s="353" t="n"/>
      <c r="BA17" s="353" t="n"/>
      <c r="BB17" s="353" t="n"/>
      <c r="BC17" s="353" t="n"/>
      <c r="BD17" s="357" t="n"/>
    </row>
    <row r="18" ht="18" customHeight="1">
      <c r="A18" s="342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FRM-163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09" t="inlineStr">
        <is>
          <t>CONFIGURATION AUDIT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86" t="inlineStr">
        <is>
          <t>Form Code</t>
        </is>
      </c>
      <c r="AR1" s="2" t="n"/>
      <c r="AS1" s="2" t="n"/>
      <c r="AT1" s="2" t="n"/>
      <c r="AU1" s="2" t="n"/>
      <c r="AV1" s="330" t="n"/>
      <c r="AW1" s="387" t="inlineStr">
        <is>
          <t>FRM-163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8" t="inlineStr">
        <is>
          <t>Revision</t>
        </is>
      </c>
      <c r="AR2" s="333" t="n"/>
      <c r="AS2" s="333" t="n"/>
      <c r="AT2" s="333" t="n"/>
      <c r="AU2" s="333" t="n"/>
      <c r="AV2" s="334" t="n"/>
      <c r="AW2" s="389" t="inlineStr">
        <is>
          <t>V0</t>
        </is>
      </c>
      <c r="AX2" s="333" t="n"/>
      <c r="AY2" s="333" t="n"/>
      <c r="AZ2" s="333" t="n"/>
      <c r="BA2" s="333" t="n"/>
      <c r="BB2" s="333" t="n"/>
      <c r="BC2" s="333" t="n"/>
      <c r="BD2" s="336" t="n"/>
    </row>
    <row r="3" ht="15" customHeight="1">
      <c r="A3" s="10" t="n"/>
      <c r="K3" s="11" t="n"/>
      <c r="L3" s="10" t="n"/>
      <c r="AQ3" s="388" t="inlineStr">
        <is>
          <t>Eff. Date</t>
        </is>
      </c>
      <c r="AR3" s="333" t="n"/>
      <c r="AS3" s="333" t="n"/>
      <c r="AT3" s="333" t="n"/>
      <c r="AU3" s="333" t="n"/>
      <c r="AV3" s="334" t="n"/>
      <c r="AW3" s="389" t="inlineStr">
        <is>
          <t>YYYY-MM-DD</t>
        </is>
      </c>
      <c r="AX3" s="333" t="n"/>
      <c r="AY3" s="333" t="n"/>
      <c r="AZ3" s="333" t="n"/>
      <c r="BA3" s="333" t="n"/>
      <c r="BB3" s="333" t="n"/>
      <c r="BC3" s="333" t="n"/>
      <c r="BD3" s="336" t="n"/>
    </row>
    <row r="4" ht="15" customHeight="1">
      <c r="A4" s="10" t="n"/>
      <c r="K4" s="11" t="n"/>
      <c r="L4" s="50" t="inlineStr">
        <is>
          <t>Quality Management System · Controlled Document</t>
        </is>
      </c>
      <c r="AQ4" s="388" t="inlineStr">
        <is>
          <t>Owner</t>
        </is>
      </c>
      <c r="AR4" s="333" t="n"/>
      <c r="AS4" s="333" t="n"/>
      <c r="AT4" s="333" t="n"/>
      <c r="AU4" s="333" t="n"/>
      <c r="AV4" s="334" t="n"/>
      <c r="AW4" s="389" t="inlineStr">
        <is>
          <t>QMS</t>
        </is>
      </c>
      <c r="AX4" s="333" t="n"/>
      <c r="AY4" s="333" t="n"/>
      <c r="AZ4" s="333" t="n"/>
      <c r="BA4" s="333" t="n"/>
      <c r="BB4" s="333" t="n"/>
      <c r="BC4" s="333" t="n"/>
      <c r="BD4" s="33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90" t="inlineStr">
        <is>
          <t>Approved</t>
        </is>
      </c>
      <c r="AR5" s="338" t="n"/>
      <c r="AS5" s="338" t="n"/>
      <c r="AT5" s="338" t="n"/>
      <c r="AU5" s="338" t="n"/>
      <c r="AV5" s="339" t="n"/>
      <c r="AW5" s="391" t="inlineStr">
        <is>
          <t>Per authority matrix</t>
        </is>
      </c>
      <c r="AX5" s="338" t="n"/>
      <c r="AY5" s="338" t="n"/>
      <c r="AZ5" s="338" t="n"/>
      <c r="BA5" s="338" t="n"/>
      <c r="BB5" s="338" t="n"/>
      <c r="BC5" s="338" t="n"/>
      <c r="BD5" s="341" t="n"/>
    </row>
    <row r="6" ht="4" customHeight="1">
      <c r="A6" s="31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80" t="inlineStr">
        <is>
          <t>ACCESS_ACTION_TYPE</t>
        </is>
      </c>
      <c r="B9" s="281" t="inlineStr">
        <is>
          <t>ATTENDANCE_STATUS</t>
        </is>
      </c>
      <c r="C9" s="281" t="inlineStr">
        <is>
          <t>AUDIENCE_CLASS</t>
        </is>
      </c>
      <c r="D9" s="281" t="inlineStr">
        <is>
          <t>AUDIT_FINDING_SEVERITY</t>
        </is>
      </c>
      <c r="E9" s="281" t="inlineStr">
        <is>
          <t>AUTHORITY_ROLE</t>
        </is>
      </c>
      <c r="F9" s="281" t="inlineStr">
        <is>
          <t>AUTHORIZATION_STATUS</t>
        </is>
      </c>
      <c r="G9" s="281" t="inlineStr">
        <is>
          <t>BACKUP_FLAG</t>
        </is>
      </c>
      <c r="H9" s="281" t="inlineStr">
        <is>
          <t>CHANGE_PRIORITY</t>
        </is>
      </c>
      <c r="I9" s="281" t="inlineStr">
        <is>
          <t>CHANGE_TYPE</t>
        </is>
      </c>
      <c r="J9" s="281" t="inlineStr">
        <is>
          <t>COMMERCIAL_REFERENCE</t>
        </is>
      </c>
      <c r="K9" s="281" t="inlineStr">
        <is>
          <t>COMM_CHANNEL</t>
        </is>
      </c>
      <c r="L9" s="281" t="inlineStr">
        <is>
          <t>COMPETENCY_LEVEL</t>
        </is>
      </c>
      <c r="M9" s="281" t="inlineStr">
        <is>
          <t>CONTEXT_CLASS</t>
        </is>
      </c>
      <c r="N9" s="281" t="inlineStr">
        <is>
          <t>CONTROL_METHOD</t>
        </is>
      </c>
      <c r="O9" s="281" t="inlineStr">
        <is>
          <t>DECISION</t>
        </is>
      </c>
      <c r="P9" s="281" t="inlineStr">
        <is>
          <t>DEPT</t>
        </is>
      </c>
      <c r="Q9" s="281" t="inlineStr">
        <is>
          <t>DOC_STATUS</t>
        </is>
      </c>
      <c r="R9" s="281" t="inlineStr">
        <is>
          <t>DOC_TYPE</t>
        </is>
      </c>
      <c r="S9" s="281" t="inlineStr">
        <is>
          <t>FMEA_RANK</t>
        </is>
      </c>
      <c r="T9" s="281" t="inlineStr">
        <is>
          <t>GATE</t>
        </is>
      </c>
      <c r="U9" s="281" t="inlineStr">
        <is>
          <t>IMPACT_LEVEL</t>
        </is>
      </c>
      <c r="V9" s="281" t="inlineStr">
        <is>
          <t>IMPACT_SCOPE</t>
        </is>
      </c>
      <c r="W9" s="281" t="inlineStr">
        <is>
          <t>KPI_OWNER_SET</t>
        </is>
      </c>
      <c r="X9" s="281" t="inlineStr">
        <is>
          <t>LESSON_CLASS</t>
        </is>
      </c>
      <c r="Y9" s="281" t="inlineStr">
        <is>
          <t>REACTION_CLASS</t>
        </is>
      </c>
      <c r="Z9" s="281" t="inlineStr">
        <is>
          <t>RECOVERY_STATUS</t>
        </is>
      </c>
      <c r="AA9" s="281" t="inlineStr">
        <is>
          <t>RESULT</t>
        </is>
      </c>
      <c r="AB9" s="281" t="inlineStr">
        <is>
          <t>RISK</t>
        </is>
      </c>
      <c r="AC9" s="281" t="inlineStr">
        <is>
          <t>RISK_CATEGORY</t>
        </is>
      </c>
      <c r="AD9" s="281" t="inlineStr">
        <is>
          <t>ROLE_ACCESS_PROFILE</t>
        </is>
      </c>
      <c r="AE9" s="281" t="inlineStr">
        <is>
          <t>SAMPLE_FREQUENCY</t>
        </is>
      </c>
      <c r="AF9" s="281" t="inlineStr">
        <is>
          <t>STATUS</t>
        </is>
      </c>
      <c r="AG9" s="281" t="inlineStr">
        <is>
          <t>YES_NO</t>
        </is>
      </c>
      <c r="AH9" s="319" t="n"/>
      <c r="AI9" s="319" t="n"/>
      <c r="AJ9" s="319" t="n"/>
      <c r="AK9" s="319" t="n"/>
      <c r="AL9" s="319" t="n"/>
      <c r="AM9" s="319" t="n"/>
      <c r="AN9" s="319" t="n"/>
      <c r="AO9" s="319" t="n"/>
      <c r="AP9" s="319" t="n"/>
      <c r="AQ9" s="319" t="n"/>
      <c r="AR9" s="319" t="n"/>
      <c r="AS9" s="319" t="n"/>
      <c r="AT9" s="319" t="n"/>
      <c r="AU9" s="319" t="n"/>
      <c r="AV9" s="319" t="n"/>
      <c r="AW9" s="319" t="n"/>
      <c r="AX9" s="319" t="n"/>
      <c r="AY9" s="319" t="n"/>
      <c r="AZ9" s="319" t="n"/>
      <c r="BA9" s="319" t="n"/>
      <c r="BB9" s="319" t="n"/>
      <c r="BC9" s="319" t="n"/>
      <c r="BD9" s="320" t="n"/>
    </row>
    <row r="10" ht="20" customHeight="1">
      <c r="A10" s="321" t="inlineStr">
        <is>
          <t>CREATE</t>
        </is>
      </c>
      <c r="B10" s="298" t="inlineStr">
        <is>
          <t>PRESENT</t>
        </is>
      </c>
      <c r="C10" s="298" t="inlineStr">
        <is>
          <t>ALL HANDS</t>
        </is>
      </c>
      <c r="D10" s="298" t="inlineStr">
        <is>
          <t>MINOR</t>
        </is>
      </c>
      <c r="E10" s="298" t="inlineStr">
        <is>
          <t>REQUESTER</t>
        </is>
      </c>
      <c r="F10" s="298" t="inlineStr">
        <is>
          <t>NOT AUTHORIZED</t>
        </is>
      </c>
      <c r="G10" s="298" t="inlineStr">
        <is>
          <t>YES</t>
        </is>
      </c>
      <c r="H10" s="298" t="inlineStr">
        <is>
          <t>LOW</t>
        </is>
      </c>
      <c r="I10" s="298" t="inlineStr">
        <is>
          <t>DOCUMENT</t>
        </is>
      </c>
      <c r="J10" s="298" t="inlineStr">
        <is>
          <t>PO</t>
        </is>
      </c>
      <c r="K10" s="298" t="inlineStr">
        <is>
          <t>EMAIL</t>
        </is>
      </c>
      <c r="L10" s="298" t="inlineStr">
        <is>
          <t>NOT TRAINED</t>
        </is>
      </c>
      <c r="M10" s="298" t="inlineStr">
        <is>
          <t>SWOT</t>
        </is>
      </c>
      <c r="N10" s="298" t="inlineStr">
        <is>
          <t>VISUAL</t>
        </is>
      </c>
      <c r="O10" s="298" t="inlineStr">
        <is>
          <t>APPROVED</t>
        </is>
      </c>
      <c r="P10" s="298" t="inlineStr">
        <is>
          <t>SALES</t>
        </is>
      </c>
      <c r="Q10" s="298" t="inlineStr">
        <is>
          <t>DRAFT</t>
        </is>
      </c>
      <c r="R10" s="298" t="inlineStr">
        <is>
          <t>SOP</t>
        </is>
      </c>
      <c r="S10" s="298" t="inlineStr">
        <is>
          <t>1</t>
        </is>
      </c>
      <c r="T10" s="298" t="inlineStr">
        <is>
          <t>CONTRACT REVIEW</t>
        </is>
      </c>
      <c r="U10" s="298" t="inlineStr">
        <is>
          <t>NONE</t>
        </is>
      </c>
      <c r="V10" s="298" t="inlineStr">
        <is>
          <t>QUALITY</t>
        </is>
      </c>
      <c r="W10" s="298" t="inlineStr">
        <is>
          <t>KPI-QUALITY</t>
        </is>
      </c>
      <c r="X10" s="298" t="inlineStr">
        <is>
          <t>PREVENTION</t>
        </is>
      </c>
      <c r="Y10" s="298" t="inlineStr">
        <is>
          <t>STOP</t>
        </is>
      </c>
      <c r="Z10" s="298" t="inlineStr">
        <is>
          <t>CONTAINED</t>
        </is>
      </c>
      <c r="AA10" s="298" t="inlineStr">
        <is>
          <t>PASS</t>
        </is>
      </c>
      <c r="AB10" s="298" t="inlineStr">
        <is>
          <t>LOW</t>
        </is>
      </c>
      <c r="AC10" s="298" t="inlineStr">
        <is>
          <t>QUALITY</t>
        </is>
      </c>
      <c r="AD10" s="298" t="inlineStr">
        <is>
          <t>VIEWER</t>
        </is>
      </c>
      <c r="AE10" s="298" t="inlineStr">
        <is>
          <t>EACH LOT</t>
        </is>
      </c>
      <c r="AF10" s="298" t="inlineStr">
        <is>
          <t>OPEN</t>
        </is>
      </c>
      <c r="AG10" s="298" t="inlineStr">
        <is>
          <t>YES</t>
        </is>
      </c>
      <c r="AH10" s="319" t="n"/>
      <c r="AI10" s="319" t="n"/>
      <c r="AJ10" s="319" t="n"/>
      <c r="AK10" s="319" t="n"/>
      <c r="AL10" s="319" t="n"/>
      <c r="AM10" s="319" t="n"/>
      <c r="AN10" s="319" t="n"/>
      <c r="AO10" s="319" t="n"/>
      <c r="AP10" s="319" t="n"/>
      <c r="AQ10" s="319" t="n"/>
      <c r="AR10" s="319" t="n"/>
      <c r="AS10" s="319" t="n"/>
      <c r="AT10" s="319" t="n"/>
      <c r="AU10" s="319" t="n"/>
      <c r="AV10" s="319" t="n"/>
      <c r="AW10" s="319" t="n"/>
      <c r="AX10" s="319" t="n"/>
      <c r="AY10" s="319" t="n"/>
      <c r="AZ10" s="319" t="n"/>
      <c r="BA10" s="319" t="n"/>
      <c r="BB10" s="319" t="n"/>
      <c r="BC10" s="319" t="n"/>
      <c r="BD10" s="320" t="n"/>
    </row>
    <row r="11" ht="20" customHeight="1">
      <c r="A11" s="322" t="inlineStr">
        <is>
          <t>CHANGE</t>
        </is>
      </c>
      <c r="B11" s="300" t="inlineStr">
        <is>
          <t>LATE</t>
        </is>
      </c>
      <c r="C11" s="300" t="inlineStr">
        <is>
          <t>FUNCTION</t>
        </is>
      </c>
      <c r="D11" s="300" t="inlineStr">
        <is>
          <t>MAJOR</t>
        </is>
      </c>
      <c r="E11" s="300" t="inlineStr">
        <is>
          <t>OWNER</t>
        </is>
      </c>
      <c r="F11" s="300" t="inlineStr">
        <is>
          <t>AUTHORIZED</t>
        </is>
      </c>
      <c r="G11" s="300" t="inlineStr">
        <is>
          <t>NO</t>
        </is>
      </c>
      <c r="H11" s="300" t="inlineStr">
        <is>
          <t>MEDIUM</t>
        </is>
      </c>
      <c r="I11" s="300" t="inlineStr">
        <is>
          <t>PROCESS</t>
        </is>
      </c>
      <c r="J11" s="300" t="inlineStr">
        <is>
          <t>SO</t>
        </is>
      </c>
      <c r="K11" s="300" t="inlineStr">
        <is>
          <t>MEETING</t>
        </is>
      </c>
      <c r="L11" s="300" t="inlineStr">
        <is>
          <t>OBSERVED</t>
        </is>
      </c>
      <c r="M11" s="300" t="inlineStr">
        <is>
          <t>PESTLE</t>
        </is>
      </c>
      <c r="N11" s="300" t="inlineStr">
        <is>
          <t>DIMENSIONAL</t>
        </is>
      </c>
      <c r="O11" s="300" t="inlineStr">
        <is>
          <t>REJECTED</t>
        </is>
      </c>
      <c r="P11" s="300" t="inlineStr">
        <is>
          <t>ENG</t>
        </is>
      </c>
      <c r="Q11" s="300" t="inlineStr">
        <is>
          <t>EFFECTIVE</t>
        </is>
      </c>
      <c r="R11" s="300" t="inlineStr">
        <is>
          <t>WI</t>
        </is>
      </c>
      <c r="S11" s="300" t="inlineStr">
        <is>
          <t>2</t>
        </is>
      </c>
      <c r="T11" s="300" t="inlineStr">
        <is>
          <t>FIRST ARTICLE</t>
        </is>
      </c>
      <c r="U11" s="300" t="inlineStr">
        <is>
          <t>LOW</t>
        </is>
      </c>
      <c r="V11" s="300" t="inlineStr">
        <is>
          <t>DELIVERY</t>
        </is>
      </c>
      <c r="W11" s="300" t="inlineStr">
        <is>
          <t>KPI-DELIVERY</t>
        </is>
      </c>
      <c r="X11" s="300" t="inlineStr">
        <is>
          <t>DETECTION</t>
        </is>
      </c>
      <c r="Y11" s="300" t="inlineStr">
        <is>
          <t>SEGREGATE</t>
        </is>
      </c>
      <c r="Z11" s="300" t="inlineStr">
        <is>
          <t>RECOVERING</t>
        </is>
      </c>
      <c r="AA11" s="300" t="inlineStr">
        <is>
          <t>HOLD</t>
        </is>
      </c>
      <c r="AB11" s="300" t="inlineStr">
        <is>
          <t>MEDIUM</t>
        </is>
      </c>
      <c r="AC11" s="300" t="inlineStr">
        <is>
          <t>DELIVERY</t>
        </is>
      </c>
      <c r="AD11" s="300" t="inlineStr">
        <is>
          <t>CONTRIBUTOR</t>
        </is>
      </c>
      <c r="AE11" s="300" t="inlineStr">
        <is>
          <t>FIRST OFF</t>
        </is>
      </c>
      <c r="AF11" s="300" t="inlineStr">
        <is>
          <t>IN PROGRESS</t>
        </is>
      </c>
      <c r="AG11" s="300" t="inlineStr">
        <is>
          <t>NO</t>
        </is>
      </c>
      <c r="AH11" s="323" t="n"/>
      <c r="AI11" s="323" t="n"/>
      <c r="AJ11" s="323" t="n"/>
      <c r="AK11" s="323" t="n"/>
      <c r="AL11" s="323" t="n"/>
      <c r="AM11" s="323" t="n"/>
      <c r="AN11" s="323" t="n"/>
      <c r="AO11" s="323" t="n"/>
      <c r="AP11" s="323" t="n"/>
      <c r="AQ11" s="323" t="n"/>
      <c r="AR11" s="323" t="n"/>
      <c r="AS11" s="323" t="n"/>
      <c r="AT11" s="323" t="n"/>
      <c r="AU11" s="323" t="n"/>
      <c r="AV11" s="323" t="n"/>
      <c r="AW11" s="323" t="n"/>
      <c r="AX11" s="323" t="n"/>
      <c r="AY11" s="323" t="n"/>
      <c r="AZ11" s="323" t="n"/>
      <c r="BA11" s="323" t="n"/>
      <c r="BB11" s="323" t="n"/>
      <c r="BC11" s="323" t="n"/>
      <c r="BD11" s="324" t="n"/>
    </row>
    <row r="12" ht="20" customHeight="1">
      <c r="A12" s="322" t="inlineStr">
        <is>
          <t>REMOVE</t>
        </is>
      </c>
      <c r="B12" s="300" t="inlineStr">
        <is>
          <t>ABSENT</t>
        </is>
      </c>
      <c r="C12" s="300" t="inlineStr">
        <is>
          <t>ROLE</t>
        </is>
      </c>
      <c r="D12" s="300" t="inlineStr">
        <is>
          <t>CRITICAL</t>
        </is>
      </c>
      <c r="E12" s="300" t="inlineStr">
        <is>
          <t>REVIEWER</t>
        </is>
      </c>
      <c r="F12" s="300" t="inlineStr">
        <is>
          <t>EXPIRED</t>
        </is>
      </c>
      <c r="G12" s="300" t="n"/>
      <c r="H12" s="300" t="inlineStr">
        <is>
          <t>HIGH</t>
        </is>
      </c>
      <c r="I12" s="300" t="inlineStr">
        <is>
          <t>SYSTEM</t>
        </is>
      </c>
      <c r="J12" s="300" t="inlineStr">
        <is>
          <t>QUOTE</t>
        </is>
      </c>
      <c r="K12" s="300" t="inlineStr">
        <is>
          <t>PORTAL</t>
        </is>
      </c>
      <c r="L12" s="300" t="inlineStr">
        <is>
          <t>SUPERVISED</t>
        </is>
      </c>
      <c r="M12" s="300" t="inlineStr">
        <is>
          <t>CSR</t>
        </is>
      </c>
      <c r="N12" s="300" t="inlineStr">
        <is>
          <t>FIRST PIECE</t>
        </is>
      </c>
      <c r="O12" s="300" t="inlineStr">
        <is>
          <t>CONDITIONAL</t>
        </is>
      </c>
      <c r="P12" s="300" t="inlineStr">
        <is>
          <t>PLANNING</t>
        </is>
      </c>
      <c r="Q12" s="300" t="inlineStr">
        <is>
          <t>OBSOLETE</t>
        </is>
      </c>
      <c r="R12" s="300" t="inlineStr">
        <is>
          <t>ANNEX</t>
        </is>
      </c>
      <c r="S12" s="300" t="inlineStr">
        <is>
          <t>3</t>
        </is>
      </c>
      <c r="T12" s="300" t="inlineStr">
        <is>
          <t>IN-PROCESS</t>
        </is>
      </c>
      <c r="U12" s="300" t="inlineStr">
        <is>
          <t>MEDIUM</t>
        </is>
      </c>
      <c r="V12" s="300" t="inlineStr">
        <is>
          <t>COST</t>
        </is>
      </c>
      <c r="W12" s="300" t="inlineStr">
        <is>
          <t>KPI-SAFETY</t>
        </is>
      </c>
      <c r="X12" s="300" t="inlineStr">
        <is>
          <t>RESPONSE</t>
        </is>
      </c>
      <c r="Y12" s="300" t="inlineStr">
        <is>
          <t>ADJUST</t>
        </is>
      </c>
      <c r="Z12" s="300" t="inlineStr">
        <is>
          <t>RESTORED</t>
        </is>
      </c>
      <c r="AA12" s="300" t="inlineStr">
        <is>
          <t>FAIL</t>
        </is>
      </c>
      <c r="AB12" s="300" t="inlineStr">
        <is>
          <t>HIGH</t>
        </is>
      </c>
      <c r="AC12" s="300" t="inlineStr">
        <is>
          <t>COST</t>
        </is>
      </c>
      <c r="AD12" s="300" t="inlineStr">
        <is>
          <t>APPROVER</t>
        </is>
      </c>
      <c r="AE12" s="300" t="inlineStr">
        <is>
          <t>HOURLY</t>
        </is>
      </c>
      <c r="AF12" s="300" t="inlineStr">
        <is>
          <t>CLOSED</t>
        </is>
      </c>
      <c r="AG12" s="300" t="inlineStr">
        <is>
          <t>NA</t>
        </is>
      </c>
      <c r="AH12" s="323" t="n"/>
      <c r="AI12" s="323" t="n"/>
      <c r="AJ12" s="323" t="n"/>
      <c r="AK12" s="323" t="n"/>
      <c r="AL12" s="323" t="n"/>
      <c r="AM12" s="323" t="n"/>
      <c r="AN12" s="323" t="n"/>
      <c r="AO12" s="323" t="n"/>
      <c r="AP12" s="323" t="n"/>
      <c r="AQ12" s="323" t="n"/>
      <c r="AR12" s="323" t="n"/>
      <c r="AS12" s="323" t="n"/>
      <c r="AT12" s="323" t="n"/>
      <c r="AU12" s="323" t="n"/>
      <c r="AV12" s="323" t="n"/>
      <c r="AW12" s="323" t="n"/>
      <c r="AX12" s="323" t="n"/>
      <c r="AY12" s="323" t="n"/>
      <c r="AZ12" s="323" t="n"/>
      <c r="BA12" s="323" t="n"/>
      <c r="BB12" s="323" t="n"/>
      <c r="BC12" s="323" t="n"/>
      <c r="BD12" s="324" t="n"/>
    </row>
    <row r="13" ht="20" customHeight="1">
      <c r="A13" s="322" t="n"/>
      <c r="B13" s="300" t="inlineStr">
        <is>
          <t>EXCUSED</t>
        </is>
      </c>
      <c r="C13" s="300" t="inlineStr">
        <is>
          <t>SHIFT</t>
        </is>
      </c>
      <c r="D13" s="300" t="n"/>
      <c r="E13" s="300" t="inlineStr">
        <is>
          <t>APPROVER</t>
        </is>
      </c>
      <c r="F13" s="300" t="inlineStr">
        <is>
          <t>SUSPENDED</t>
        </is>
      </c>
      <c r="G13" s="300" t="n"/>
      <c r="H13" s="300" t="inlineStr">
        <is>
          <t>CRITICAL</t>
        </is>
      </c>
      <c r="I13" s="300" t="inlineStr">
        <is>
          <t>CONFIGURATION</t>
        </is>
      </c>
      <c r="J13" s="300" t="inlineStr">
        <is>
          <t>CSR</t>
        </is>
      </c>
      <c r="K13" s="300" t="inlineStr">
        <is>
          <t>NOTICE</t>
        </is>
      </c>
      <c r="L13" s="300" t="inlineStr">
        <is>
          <t>AUTHORIZED</t>
        </is>
      </c>
      <c r="M13" s="300" t="inlineStr">
        <is>
          <t>REGULATORY</t>
        </is>
      </c>
      <c r="N13" s="300" t="inlineStr">
        <is>
          <t>IN PROCESS</t>
        </is>
      </c>
      <c r="O13" s="300" t="inlineStr">
        <is>
          <t>ON HOLD</t>
        </is>
      </c>
      <c r="P13" s="300" t="inlineStr">
        <is>
          <t>PROD</t>
        </is>
      </c>
      <c r="Q13" s="300" t="inlineStr">
        <is>
          <t>SUPERSEDED</t>
        </is>
      </c>
      <c r="R13" s="300" t="inlineStr">
        <is>
          <t>FORM</t>
        </is>
      </c>
      <c r="S13" s="300" t="inlineStr">
        <is>
          <t>4</t>
        </is>
      </c>
      <c r="T13" s="300" t="inlineStr">
        <is>
          <t>FINAL</t>
        </is>
      </c>
      <c r="U13" s="300" t="inlineStr">
        <is>
          <t>HIGH</t>
        </is>
      </c>
      <c r="V13" s="300" t="inlineStr">
        <is>
          <t>SAFETY</t>
        </is>
      </c>
      <c r="W13" s="300" t="inlineStr">
        <is>
          <t>KPI-TRAINING</t>
        </is>
      </c>
      <c r="X13" s="300" t="inlineStr">
        <is>
          <t>SYSTEM</t>
        </is>
      </c>
      <c r="Y13" s="300" t="inlineStr">
        <is>
          <t>ESCALATE</t>
        </is>
      </c>
      <c r="Z13" s="300" t="inlineStr">
        <is>
          <t>ESCALATED</t>
        </is>
      </c>
      <c r="AA13" s="300" t="inlineStr">
        <is>
          <t>NA</t>
        </is>
      </c>
      <c r="AB13" s="300" t="inlineStr">
        <is>
          <t>CRITICAL</t>
        </is>
      </c>
      <c r="AC13" s="300" t="inlineStr">
        <is>
          <t>SAFETY</t>
        </is>
      </c>
      <c r="AD13" s="300" t="inlineStr">
        <is>
          <t>OWNER</t>
        </is>
      </c>
      <c r="AE13" s="300" t="inlineStr">
        <is>
          <t>SHIFT</t>
        </is>
      </c>
      <c r="AF13" s="300" t="inlineStr">
        <is>
          <t>MONITORING</t>
        </is>
      </c>
      <c r="AG13" s="300" t="n"/>
      <c r="AH13" s="323" t="n"/>
      <c r="AI13" s="323" t="n"/>
      <c r="AJ13" s="323" t="n"/>
      <c r="AK13" s="323" t="n"/>
      <c r="AL13" s="323" t="n"/>
      <c r="AM13" s="323" t="n"/>
      <c r="AN13" s="323" t="n"/>
      <c r="AO13" s="323" t="n"/>
      <c r="AP13" s="323" t="n"/>
      <c r="AQ13" s="323" t="n"/>
      <c r="AR13" s="323" t="n"/>
      <c r="AS13" s="323" t="n"/>
      <c r="AT13" s="323" t="n"/>
      <c r="AU13" s="323" t="n"/>
      <c r="AV13" s="323" t="n"/>
      <c r="AW13" s="323" t="n"/>
      <c r="AX13" s="323" t="n"/>
      <c r="AY13" s="323" t="n"/>
      <c r="AZ13" s="323" t="n"/>
      <c r="BA13" s="323" t="n"/>
      <c r="BB13" s="323" t="n"/>
      <c r="BC13" s="323" t="n"/>
      <c r="BD13" s="324" t="n"/>
    </row>
    <row r="14" ht="20" customHeight="1">
      <c r="A14" s="322" t="n"/>
      <c r="B14" s="300" t="n"/>
      <c r="C14" s="300" t="inlineStr">
        <is>
          <t>MANAGEMENT</t>
        </is>
      </c>
      <c r="D14" s="300" t="n"/>
      <c r="E14" s="300" t="inlineStr">
        <is>
          <t>ADMIN</t>
        </is>
      </c>
      <c r="F14" s="300" t="n"/>
      <c r="G14" s="300" t="n"/>
      <c r="H14" s="300" t="n"/>
      <c r="I14" s="300" t="inlineStr">
        <is>
          <t>ACCESS</t>
        </is>
      </c>
      <c r="J14" s="300" t="inlineStr">
        <is>
          <t>CONTRACT</t>
        </is>
      </c>
      <c r="K14" s="300" t="inlineStr">
        <is>
          <t>TRAINING</t>
        </is>
      </c>
      <c r="L14" s="300" t="inlineStr">
        <is>
          <t>TRAINER</t>
        </is>
      </c>
      <c r="M14" s="300" t="inlineStr">
        <is>
          <t>INTERNAL</t>
        </is>
      </c>
      <c r="N14" s="300" t="inlineStr">
        <is>
          <t>FINAL</t>
        </is>
      </c>
      <c r="O14" s="300" t="n"/>
      <c r="P14" s="300" t="inlineStr">
        <is>
          <t>QA</t>
        </is>
      </c>
      <c r="Q14" s="300" t="inlineStr">
        <is>
          <t>ON HOLD</t>
        </is>
      </c>
      <c r="R14" s="300" t="inlineStr">
        <is>
          <t>POLICY</t>
        </is>
      </c>
      <c r="S14" s="300" t="inlineStr">
        <is>
          <t>5</t>
        </is>
      </c>
      <c r="T14" s="300" t="inlineStr">
        <is>
          <t>SHIPPING</t>
        </is>
      </c>
      <c r="U14" s="300" t="inlineStr">
        <is>
          <t>CRITICAL</t>
        </is>
      </c>
      <c r="V14" s="300" t="inlineStr">
        <is>
          <t>COMPLIANCE</t>
        </is>
      </c>
      <c r="W14" s="300" t="inlineStr">
        <is>
          <t>KPI-COST</t>
        </is>
      </c>
      <c r="X14" s="300" t="inlineStr">
        <is>
          <t>TRAINING</t>
        </is>
      </c>
      <c r="Y14" s="300" t="inlineStr">
        <is>
          <t>RECHECK</t>
        </is>
      </c>
      <c r="Z14" s="300" t="n"/>
      <c r="AA14" s="300" t="n"/>
      <c r="AB14" s="300" t="n"/>
      <c r="AC14" s="300" t="inlineStr">
        <is>
          <t>COMPLIANCE</t>
        </is>
      </c>
      <c r="AD14" s="300" t="inlineStr">
        <is>
          <t>ADMIN</t>
        </is>
      </c>
      <c r="AE14" s="300" t="inlineStr">
        <is>
          <t>DAILY</t>
        </is>
      </c>
      <c r="AF14" s="300" t="n"/>
      <c r="AG14" s="300" t="n"/>
      <c r="AH14" s="323" t="n"/>
      <c r="AI14" s="323" t="n"/>
      <c r="AJ14" s="323" t="n"/>
      <c r="AK14" s="323" t="n"/>
      <c r="AL14" s="323" t="n"/>
      <c r="AM14" s="323" t="n"/>
      <c r="AN14" s="323" t="n"/>
      <c r="AO14" s="323" t="n"/>
      <c r="AP14" s="323" t="n"/>
      <c r="AQ14" s="323" t="n"/>
      <c r="AR14" s="323" t="n"/>
      <c r="AS14" s="323" t="n"/>
      <c r="AT14" s="323" t="n"/>
      <c r="AU14" s="323" t="n"/>
      <c r="AV14" s="323" t="n"/>
      <c r="AW14" s="323" t="n"/>
      <c r="AX14" s="323" t="n"/>
      <c r="AY14" s="323" t="n"/>
      <c r="AZ14" s="323" t="n"/>
      <c r="BA14" s="323" t="n"/>
      <c r="BB14" s="323" t="n"/>
      <c r="BC14" s="323" t="n"/>
      <c r="BD14" s="324" t="n"/>
    </row>
    <row r="15" ht="20" customHeight="1">
      <c r="A15" s="322" t="n"/>
      <c r="B15" s="300" t="n"/>
      <c r="C15" s="300" t="inlineStr">
        <is>
          <t>CUSTOMER</t>
        </is>
      </c>
      <c r="D15" s="300" t="n"/>
      <c r="E15" s="300" t="n"/>
      <c r="F15" s="300" t="n"/>
      <c r="G15" s="300" t="n"/>
      <c r="H15" s="300" t="n"/>
      <c r="I15" s="300" t="inlineStr">
        <is>
          <t>TRAINING</t>
        </is>
      </c>
      <c r="J15" s="300" t="n"/>
      <c r="K15" s="300" t="inlineStr">
        <is>
          <t>ESCALATION</t>
        </is>
      </c>
      <c r="L15" s="300" t="n"/>
      <c r="M15" s="300" t="n"/>
      <c r="N15" s="300" t="inlineStr">
        <is>
          <t>FUNCTIONAL</t>
        </is>
      </c>
      <c r="O15" s="300" t="n"/>
      <c r="P15" s="300" t="inlineStr">
        <is>
          <t>PUR</t>
        </is>
      </c>
      <c r="Q15" s="300" t="n"/>
      <c r="R15" s="300" t="inlineStr">
        <is>
          <t>RECORD</t>
        </is>
      </c>
      <c r="S15" s="300" t="inlineStr">
        <is>
          <t>6</t>
        </is>
      </c>
      <c r="T15" s="300" t="n"/>
      <c r="U15" s="300" t="n"/>
      <c r="V15" s="300" t="inlineStr">
        <is>
          <t>SYSTEM</t>
        </is>
      </c>
      <c r="W15" s="300" t="n"/>
      <c r="X15" s="300" t="n"/>
      <c r="Y15" s="300" t="n"/>
      <c r="Z15" s="300" t="n"/>
      <c r="AA15" s="300" t="n"/>
      <c r="AB15" s="300" t="n"/>
      <c r="AC15" s="300" t="inlineStr">
        <is>
          <t>SYSTEM</t>
        </is>
      </c>
      <c r="AD15" s="300" t="n"/>
      <c r="AE15" s="300" t="inlineStr">
        <is>
          <t>WEEKLY</t>
        </is>
      </c>
      <c r="AF15" s="300" t="n"/>
      <c r="AG15" s="300" t="n"/>
      <c r="AH15" s="323" t="n"/>
      <c r="AI15" s="323" t="n"/>
      <c r="AJ15" s="323" t="n"/>
      <c r="AK15" s="323" t="n"/>
      <c r="AL15" s="323" t="n"/>
      <c r="AM15" s="323" t="n"/>
      <c r="AN15" s="323" t="n"/>
      <c r="AO15" s="323" t="n"/>
      <c r="AP15" s="323" t="n"/>
      <c r="AQ15" s="323" t="n"/>
      <c r="AR15" s="323" t="n"/>
      <c r="AS15" s="323" t="n"/>
      <c r="AT15" s="323" t="n"/>
      <c r="AU15" s="323" t="n"/>
      <c r="AV15" s="323" t="n"/>
      <c r="AW15" s="323" t="n"/>
      <c r="AX15" s="323" t="n"/>
      <c r="AY15" s="323" t="n"/>
      <c r="AZ15" s="323" t="n"/>
      <c r="BA15" s="323" t="n"/>
      <c r="BB15" s="323" t="n"/>
      <c r="BC15" s="323" t="n"/>
      <c r="BD15" s="324" t="n"/>
    </row>
    <row r="16" ht="20" customHeight="1">
      <c r="A16" s="322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inlineStr">
        <is>
          <t>WHS</t>
        </is>
      </c>
      <c r="Q16" s="300" t="n"/>
      <c r="R16" s="300" t="n"/>
      <c r="S16" s="300" t="inlineStr">
        <is>
          <t>7</t>
        </is>
      </c>
      <c r="T16" s="300" t="n"/>
      <c r="U16" s="300" t="n"/>
      <c r="V16" s="300" t="inlineStr">
        <is>
          <t>CUSTOMER</t>
        </is>
      </c>
      <c r="W16" s="300" t="n"/>
      <c r="X16" s="300" t="n"/>
      <c r="Y16" s="300" t="n"/>
      <c r="Z16" s="300" t="n"/>
      <c r="AA16" s="300" t="n"/>
      <c r="AB16" s="300" t="n"/>
      <c r="AC16" s="300" t="inlineStr">
        <is>
          <t>PEOPLE</t>
        </is>
      </c>
      <c r="AD16" s="300" t="n"/>
      <c r="AE16" s="300" t="n"/>
      <c r="AF16" s="300" t="n"/>
      <c r="AG16" s="300" t="n"/>
      <c r="AH16" s="323" t="n"/>
      <c r="AI16" s="323" t="n"/>
      <c r="AJ16" s="323" t="n"/>
      <c r="AK16" s="323" t="n"/>
      <c r="AL16" s="323" t="n"/>
      <c r="AM16" s="323" t="n"/>
      <c r="AN16" s="323" t="n"/>
      <c r="AO16" s="323" t="n"/>
      <c r="AP16" s="323" t="n"/>
      <c r="AQ16" s="323" t="n"/>
      <c r="AR16" s="323" t="n"/>
      <c r="AS16" s="323" t="n"/>
      <c r="AT16" s="323" t="n"/>
      <c r="AU16" s="323" t="n"/>
      <c r="AV16" s="323" t="n"/>
      <c r="AW16" s="323" t="n"/>
      <c r="AX16" s="323" t="n"/>
      <c r="AY16" s="323" t="n"/>
      <c r="AZ16" s="323" t="n"/>
      <c r="BA16" s="323" t="n"/>
      <c r="BB16" s="323" t="n"/>
      <c r="BC16" s="323" t="n"/>
      <c r="BD16" s="324" t="n"/>
    </row>
    <row r="17" ht="20" customHeight="1">
      <c r="A17" s="322" t="n"/>
      <c r="B17" s="300" t="n"/>
      <c r="C17" s="300" t="n"/>
      <c r="D17" s="300" t="n"/>
      <c r="E17" s="300" t="n"/>
      <c r="F17" s="300" t="n"/>
      <c r="G17" s="300" t="n"/>
      <c r="H17" s="300" t="n"/>
      <c r="I17" s="300" t="n"/>
      <c r="J17" s="300" t="n"/>
      <c r="K17" s="300" t="n"/>
      <c r="L17" s="300" t="n"/>
      <c r="M17" s="300" t="n"/>
      <c r="N17" s="300" t="n"/>
      <c r="O17" s="300" t="n"/>
      <c r="P17" s="300" t="inlineStr">
        <is>
          <t>IT</t>
        </is>
      </c>
      <c r="Q17" s="300" t="n"/>
      <c r="R17" s="300" t="n"/>
      <c r="S17" s="300" t="inlineStr">
        <is>
          <t>8</t>
        </is>
      </c>
      <c r="T17" s="300" t="n"/>
      <c r="U17" s="300" t="n"/>
      <c r="V17" s="300" t="inlineStr">
        <is>
          <t>TRAINING</t>
        </is>
      </c>
      <c r="W17" s="300" t="n"/>
      <c r="X17" s="300" t="n"/>
      <c r="Y17" s="300" t="n"/>
      <c r="Z17" s="300" t="n"/>
      <c r="AA17" s="300" t="n"/>
      <c r="AB17" s="300" t="n"/>
      <c r="AC17" s="300" t="n"/>
      <c r="AD17" s="300" t="n"/>
      <c r="AE17" s="300" t="n"/>
      <c r="AF17" s="300" t="n"/>
      <c r="AG17" s="300" t="n"/>
      <c r="AH17" s="323" t="n"/>
      <c r="AI17" s="323" t="n"/>
      <c r="AJ17" s="323" t="n"/>
      <c r="AK17" s="323" t="n"/>
      <c r="AL17" s="323" t="n"/>
      <c r="AM17" s="323" t="n"/>
      <c r="AN17" s="323" t="n"/>
      <c r="AO17" s="323" t="n"/>
      <c r="AP17" s="323" t="n"/>
      <c r="AQ17" s="323" t="n"/>
      <c r="AR17" s="323" t="n"/>
      <c r="AS17" s="323" t="n"/>
      <c r="AT17" s="323" t="n"/>
      <c r="AU17" s="323" t="n"/>
      <c r="AV17" s="323" t="n"/>
      <c r="AW17" s="323" t="n"/>
      <c r="AX17" s="323" t="n"/>
      <c r="AY17" s="323" t="n"/>
      <c r="AZ17" s="323" t="n"/>
      <c r="BA17" s="323" t="n"/>
      <c r="BB17" s="323" t="n"/>
      <c r="BC17" s="323" t="n"/>
      <c r="BD17" s="324" t="n"/>
    </row>
    <row r="18" ht="20" customHeight="1">
      <c r="A18" s="322" t="n"/>
      <c r="B18" s="300" t="n"/>
      <c r="C18" s="300" t="n"/>
      <c r="D18" s="300" t="n"/>
      <c r="E18" s="300" t="n"/>
      <c r="F18" s="300" t="n"/>
      <c r="G18" s="300" t="n"/>
      <c r="H18" s="300" t="n"/>
      <c r="I18" s="300" t="n"/>
      <c r="J18" s="300" t="n"/>
      <c r="K18" s="300" t="n"/>
      <c r="L18" s="300" t="n"/>
      <c r="M18" s="300" t="n"/>
      <c r="N18" s="300" t="n"/>
      <c r="O18" s="300" t="n"/>
      <c r="P18" s="300" t="inlineStr">
        <is>
          <t>HR</t>
        </is>
      </c>
      <c r="Q18" s="300" t="n"/>
      <c r="R18" s="300" t="n"/>
      <c r="S18" s="300" t="inlineStr">
        <is>
          <t>9</t>
        </is>
      </c>
      <c r="T18" s="300" t="n"/>
      <c r="U18" s="300" t="n"/>
      <c r="V18" s="300" t="n"/>
      <c r="W18" s="300" t="n"/>
      <c r="X18" s="300" t="n"/>
      <c r="Y18" s="300" t="n"/>
      <c r="Z18" s="300" t="n"/>
      <c r="AA18" s="300" t="n"/>
      <c r="AB18" s="300" t="n"/>
      <c r="AC18" s="300" t="n"/>
      <c r="AD18" s="300" t="n"/>
      <c r="AE18" s="300" t="n"/>
      <c r="AF18" s="300" t="n"/>
      <c r="AG18" s="300" t="n"/>
      <c r="AH18" s="323" t="n"/>
      <c r="AI18" s="323" t="n"/>
      <c r="AJ18" s="323" t="n"/>
      <c r="AK18" s="323" t="n"/>
      <c r="AL18" s="323" t="n"/>
      <c r="AM18" s="323" t="n"/>
      <c r="AN18" s="323" t="n"/>
      <c r="AO18" s="323" t="n"/>
      <c r="AP18" s="323" t="n"/>
      <c r="AQ18" s="323" t="n"/>
      <c r="AR18" s="323" t="n"/>
      <c r="AS18" s="323" t="n"/>
      <c r="AT18" s="323" t="n"/>
      <c r="AU18" s="323" t="n"/>
      <c r="AV18" s="323" t="n"/>
      <c r="AW18" s="323" t="n"/>
      <c r="AX18" s="323" t="n"/>
      <c r="AY18" s="323" t="n"/>
      <c r="AZ18" s="323" t="n"/>
      <c r="BA18" s="323" t="n"/>
      <c r="BB18" s="323" t="n"/>
      <c r="BC18" s="323" t="n"/>
      <c r="BD18" s="324" t="n"/>
    </row>
    <row r="19" ht="20" customHeight="1">
      <c r="A19" s="325" t="n"/>
      <c r="B19" s="290" t="n"/>
      <c r="C19" s="290" t="n"/>
      <c r="D19" s="290" t="n"/>
      <c r="E19" s="290" t="n"/>
      <c r="F19" s="290" t="n"/>
      <c r="G19" s="290" t="n"/>
      <c r="H19" s="290" t="n"/>
      <c r="I19" s="290" t="n"/>
      <c r="J19" s="290" t="n"/>
      <c r="K19" s="290" t="n"/>
      <c r="L19" s="290" t="n"/>
      <c r="M19" s="290" t="n"/>
      <c r="N19" s="290" t="n"/>
      <c r="O19" s="290" t="n"/>
      <c r="P19" s="290" t="inlineStr">
        <is>
          <t>MGT</t>
        </is>
      </c>
      <c r="Q19" s="290" t="n"/>
      <c r="R19" s="290" t="n"/>
      <c r="S19" s="290" t="inlineStr">
        <is>
          <t>10</t>
        </is>
      </c>
      <c r="T19" s="290" t="n"/>
      <c r="U19" s="290" t="n"/>
      <c r="V19" s="290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326" t="n"/>
      <c r="AI19" s="326" t="n"/>
      <c r="AJ19" s="326" t="n"/>
      <c r="AK19" s="326" t="n"/>
      <c r="AL19" s="326" t="n"/>
      <c r="AM19" s="326" t="n"/>
      <c r="AN19" s="326" t="n"/>
      <c r="AO19" s="326" t="n"/>
      <c r="AP19" s="326" t="n"/>
      <c r="AQ19" s="326" t="n"/>
      <c r="AR19" s="326" t="n"/>
      <c r="AS19" s="326" t="n"/>
      <c r="AT19" s="326" t="n"/>
      <c r="AU19" s="326" t="n"/>
      <c r="AV19" s="326" t="n"/>
      <c r="AW19" s="326" t="n"/>
      <c r="AX19" s="326" t="n"/>
      <c r="AY19" s="326" t="n"/>
      <c r="AZ19" s="326" t="n"/>
      <c r="BA19" s="326" t="n"/>
      <c r="BB19" s="326" t="n"/>
      <c r="BC19" s="326" t="n"/>
      <c r="BD19" s="327" t="n"/>
    </row>
    <row r="20" ht="20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FRM-163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2026-03-20T09:13:59Z</dcterms:created>
  <dcterms:modified xmlns:dcterms="http://purl.org/dc/terms/" xmlns:xsi="http://www.w3.org/2001/XMLSchema-instance" xsi:type="dcterms:W3CDTF">2026-03-22T04:03:21Z</dcterms:modified>
</cp:coreProperties>
</file>